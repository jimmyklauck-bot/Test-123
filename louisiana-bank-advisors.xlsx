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List" sheetId="2" state="visible" r:id="rId2"/>
    <sheet name="Platform &amp; Clearing" sheetId="3" state="visible" r:id="rId3"/>
    <sheet name="Red River Bank" sheetId="4" state="visible" r:id="rId4"/>
    <sheet name="Home Bank (HB Financial)" sheetId="5" state="visible" r:id="rId5"/>
    <sheet name="First Federal Bank LA" sheetId="6" state="visible" r:id="rId6"/>
    <sheet name="Synergy Bank" sheetId="7" state="visible" r:id="rId7"/>
    <sheet name="BankPlus" sheetId="8" state="visible" r:id="rId8"/>
    <sheet name="First Horizon" sheetId="9" state="visible" r:id="rId9"/>
    <sheet name="Gulf Coast Bank (Abbeville)" sheetId="10" state="visible" r:id="rId10"/>
    <sheet name="Hancock Whitney" sheetId="11" state="visible" r:id="rId11"/>
    <sheet name="Regions Bank" sheetId="12" state="visible" r:id="rId12"/>
    <sheet name="Bank of St Francisville" sheetId="13" state="visible" r:id="rId13"/>
    <sheet name="b1BANK" sheetId="14" state="visible" r:id="rId14"/>
    <sheet name="Community Bank of LA" sheetId="15" state="visible" r:id="rId15"/>
    <sheet name="Gulf Coast Bank &amp; Trust" sheetId="16" state="visible" r:id="rId16"/>
    <sheet name="Fidelity Bank (NOLA)" sheetId="17" state="visible" r:id="rId17"/>
    <sheet name="First Natl Bank of LA" sheetId="18" state="visible" r:id="rId18"/>
    <sheet name="JD Bank (trust)" sheetId="19" state="visible" r:id="rId19"/>
    <sheet name="Merrill (Bank of America)" sheetId="20" state="visible" r:id="rId20"/>
    <sheet name="Wells Fargo Advisors" sheetId="21" state="visible" r:id="rId21"/>
    <sheet name="J.P. Morgan" sheetId="22" state="visible" r:id="rId22"/>
    <sheet name="Citizens Natl (Bossier)" sheetId="23" state="visible" r:id="rId23"/>
    <sheet name="Trust Depts (no names)" sheetId="24" state="visible" r:id="rId24"/>
    <sheet name="Programs - No Names" sheetId="25" state="visible" r:id="rId25"/>
  </sheets>
  <definedNames>
    <definedName name="_xlnm._FilterDatabase" localSheetId="1" hidden="1">'Master List'!$A$4:$J$59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3"/>
    </font>
    <font>
      <name val="Arial"/>
      <i val="1"/>
      <color rgb="00555555"/>
      <sz val="9"/>
    </font>
    <font>
      <name val="Arial"/>
      <b val="1"/>
      <color rgb="00FFFFFF"/>
      <sz val="10"/>
    </font>
    <font>
      <name val="Arial"/>
      <sz val="10"/>
    </font>
    <font>
      <name val="Arial"/>
      <b val="1"/>
      <sz val="10"/>
    </font>
    <font>
      <name val="Arial"/>
      <i val="1"/>
      <sz val="9"/>
    </font>
    <font>
      <name val="Arial"/>
      <b val="1"/>
      <color rgb="001F3864"/>
      <sz val="14"/>
    </font>
    <font>
      <name val="Arial"/>
      <b val="1"/>
      <color rgb="001F3864"/>
      <sz val="18"/>
    </font>
    <font>
      <name val="Arial"/>
      <b val="1"/>
      <color rgb="00FFFFFF"/>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8" fillId="0" borderId="0" pivotButton="0" quotePrefix="0" xfId="0"/>
    <xf numFmtId="0" fontId="2" fillId="0" borderId="0" pivotButton="0" quotePrefix="0" xfId="0"/>
    <xf numFmtId="0" fontId="9" fillId="2" borderId="0" pivotButton="0" quotePrefix="0" xfId="0"/>
    <xf numFmtId="0" fontId="4" fillId="0" borderId="0" applyAlignment="1" pivotButton="0" quotePrefix="0" xfId="0">
      <alignment vertical="top" wrapText="1"/>
    </xf>
    <xf numFmtId="0" fontId="5" fillId="0" borderId="0" pivotButton="0" quotePrefix="0" xfId="0"/>
    <xf numFmtId="0" fontId="7" fillId="0" borderId="0" pivotButton="0" quotePrefix="0" xfId="0"/>
    <xf numFmtId="0" fontId="3" fillId="2" borderId="1" pivotButton="0" quotePrefix="0" xfId="0"/>
    <xf numFmtId="0" fontId="4" fillId="0" borderId="1" applyAlignment="1" pivotButton="0" quotePrefix="0" xfId="0">
      <alignment vertical="top"/>
    </xf>
    <xf numFmtId="0" fontId="4" fillId="0" borderId="1" applyAlignment="1" pivotButton="0" quotePrefix="0" xfId="0">
      <alignment vertical="top" wrapText="1"/>
    </xf>
    <xf numFmtId="0" fontId="2" fillId="0" borderId="0" applyAlignment="1" pivotButton="0" quotePrefix="0" xfId="0">
      <alignment vertical="top" wrapText="1"/>
    </xf>
    <xf numFmtId="0" fontId="6" fillId="3" borderId="0" applyAlignment="1" pivotButton="0" quotePrefix="0" xfId="0">
      <alignment vertical="top" wrapText="1"/>
    </xf>
    <xf numFmtId="0" fontId="1" fillId="0" borderId="0" pivotButton="0" quotePrefix="0" xfId="0"/>
    <xf numFmtId="0" fontId="3" fillId="2" borderId="1" applyAlignment="1" pivotButton="0" quotePrefix="0" xfId="0">
      <alignment vertical="center"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118" customWidth="1" min="1" max="1"/>
  </cols>
  <sheetData>
    <row r="1">
      <c r="A1" s="1" t="inlineStr">
        <is>
          <t>Louisiana Bank Wealth Advisors</t>
        </is>
      </c>
    </row>
    <row r="2">
      <c r="A2" s="2" t="inlineStr">
        <is>
          <t>Compiled 2026-09-06. One tab per bank. Companion to louisiana-banks-wealth-management.md and louisiana-bank-advisors-by-bank.md.</t>
        </is>
      </c>
    </row>
    <row r="4">
      <c r="A4" s="3" t="inlineStr">
        <is>
          <t>HOW TO USE THIS WORKBOOK</t>
        </is>
      </c>
    </row>
    <row r="5" ht="28" customHeight="1">
      <c r="A5" s="4" t="inlineStr">
        <is>
          <t>Master List — every named person in one filterable table. Start here.</t>
        </is>
      </c>
    </row>
    <row r="6" ht="28" customHeight="1">
      <c r="A6" s="4" t="inlineStr">
        <is>
          <t>Platform &amp; Clearing — which broker-dealer each bank program runs on, and who actually clears the trades.</t>
        </is>
      </c>
    </row>
    <row r="7" ht="28" customHeight="1">
      <c r="A7" s="4" t="inlineStr">
        <is>
          <t>One tab per bank — full detail: addresses, licenses, tenure, caveats, and the notes that matter before you dial.</t>
        </is>
      </c>
    </row>
    <row r="8" ht="28" customHeight="1">
      <c r="A8" s="4" t="inlineStr">
        <is>
          <t>Trust Depts (no names) — confirmed in-house trust departments where no officer name surfaced.</t>
        </is>
      </c>
    </row>
    <row r="9" ht="28" customHeight="1">
      <c r="A9" s="4" t="inlineStr">
        <is>
          <t>Programs - No Names — confirmed programs with zero names found. Call the main line, ask for the program manager.</t>
        </is>
      </c>
    </row>
    <row r="11">
      <c r="A11" s="3" t="inlineStr">
        <is>
          <t>BROKER-DEALER IS NOT THE CLEARING FIRM</t>
        </is>
      </c>
    </row>
    <row r="12" ht="28" customHeight="1">
      <c r="A12" s="4" t="inlineStr">
        <is>
          <t>You asked who they clear through. Worth separating two things, because both columns are in here:</t>
        </is>
      </c>
    </row>
    <row r="13" ht="28" customHeight="1">
      <c r="A13" s="4" t="inlineStr">
        <is>
          <t>BROKER-DEALER is who the advisor is registered with. It governs the approved product list, so it is the one that decides whether an ETF can be bought at all.</t>
        </is>
      </c>
    </row>
    <row r="14" ht="28" customHeight="1">
      <c r="A14" s="4" t="inlineStr">
        <is>
          <t>CLEARING FIRM holds and settles the trades. LPL, Raymond James and Ameriprise self-clear. Cetera lets the advisor pick among BNY Pershing, NFS (Fidelity), or Cetera's own self-clearing BD.</t>
        </is>
      </c>
    </row>
    <row r="15" ht="28" customHeight="1">
      <c r="A15" s="4" t="inlineStr">
        <is>
          <t>For your purposes the broker-dealer column is the one that matters. The clearing column is on the Platform &amp; Clearing tab for completeness.</t>
        </is>
      </c>
    </row>
    <row r="17">
      <c r="A17" s="3" t="inlineStr">
        <is>
          <t>RESEARCH LIMITS — READ BEFORE TRUSTING A BLANK CELL</t>
        </is>
      </c>
    </row>
    <row r="18" ht="28" customHeight="1">
      <c r="A18" s="4" t="inlineStr">
        <is>
          <t>FINRA BrokerCheck was UNREACHABLE from this environment. The API, the report PDFs and the summary pages are all blocked by the network egress proxy.</t>
        </is>
      </c>
    </row>
    <row r="19" ht="28" customHeight="1">
      <c r="A19" s="4" t="inlineStr">
        <is>
          <t>So no BrokerCheck report was actually opened. Every CRD and broker-dealer below came from SEARCH SNIPPETS of those same BrokerCheck pages, plus advisor directories built on SEC data.</t>
        </is>
      </c>
    </row>
    <row r="20" ht="28" customHeight="1">
      <c r="A20" s="4" t="inlineStr">
        <is>
          <t>That means: registration status, disclosure history, and exact 'registered since' dates are NOT verified for anyone in this workbook.</t>
        </is>
      </c>
    </row>
    <row r="21" ht="28" customHeight="1">
      <c r="A21" s="4" t="inlineStr">
        <is>
          <t>Direct site fetching was also blocked, so bank team pages and advisor bios could not be opened either. Where a bank publishes a roster on a JavaScript page or a branch locator, the names simply did not surface.</t>
        </is>
      </c>
    </row>
    <row r="22" ht="28" customHeight="1">
      <c r="A22" s="4" t="inlineStr">
        <is>
          <t>A blank cell means NOT FOUND, not confirmed absent.</t>
        </is>
      </c>
    </row>
    <row r="23" ht="28" customHeight="1">
      <c r="A23" s="4" t="inlineStr">
        <is>
          <t>Run a real BrokerCheck lookup on anyone before you call them.</t>
        </is>
      </c>
    </row>
    <row r="25">
      <c r="A25" s="3" t="inlineStr">
        <is>
          <t>CORRECTIONS TO THE EARLIER RESEARCH</t>
        </is>
      </c>
    </row>
    <row r="26" ht="28" customHeight="1">
      <c r="A26" s="4" t="inlineStr">
        <is>
          <t>b1BANK is on RAYMOND JAMES, not LPL. The program moved to Raymond James Financial Institutions Division in July 2026 with ~$335MM, then merged with Progressive Financial Advisors (~$600MM combined) after b1 acquired Progressive Bank in January 2026.</t>
        </is>
      </c>
    </row>
    <row r="27" ht="28" customHeight="1">
      <c r="A27" s="4" t="inlineStr">
        <is>
          <t>Community Bank of Louisiana is headquartered in MANSFIELD (DeSoto Parish), not Raceland, and serves the Shreveport-Bossier corridor.</t>
        </is>
      </c>
    </row>
    <row r="28" ht="28" customHeight="1">
      <c r="A28" s="4" t="inlineStr">
        <is>
          <t>First Investment Services in Crowley is on KESTRA and is Jeremy Patin's own firm, not a bank-owned Ameriprise program.</t>
        </is>
      </c>
    </row>
    <row r="29" ht="28" customHeight="1">
      <c r="A29" s="4" t="inlineStr">
        <is>
          <t>Citizens National Bank Bossier City may have NO wealth program. The CNB Wealth Management pages carrying the Raymond James affiliation describe a Mississippi bank with 27 locations. See that tab.</t>
        </is>
      </c>
    </row>
    <row r="31">
      <c r="A31" s="3" t="inlineStr">
        <is>
          <t>WHERE TO SPEND THE NEXT HOUR</t>
        </is>
      </c>
    </row>
    <row r="32" ht="28" customHeight="1">
      <c r="A32" s="4" t="inlineStr">
        <is>
          <t>1. b1BANK. Three advisors, $600MM+, newly consolidated on Raymond James, two names still missing. Smallest effort, best payoff.</t>
        </is>
      </c>
    </row>
    <row r="33" ht="28" customHeight="1">
      <c r="A33" s="4" t="inlineStr">
        <is>
          <t>2. Hancock Whitney branch program. 18 Louisiana towns, one name captured. Likely 15+ consultants on Cetera. Biggest single gap.</t>
        </is>
      </c>
    </row>
    <row r="34" ht="28" customHeight="1">
      <c r="A34" s="4" t="inlineStr">
        <is>
          <t>3. Regions. Ten Louisiana towns, five names. The rest are on the Regions Louisiana advisor directory.</t>
        </is>
      </c>
    </row>
    <row r="35" ht="28" customHeight="1">
      <c r="A35" s="4" t="inlineStr">
        <is>
          <t>4. Home Bank's 'Brad'. He runs the discretionary models. A surname and a direct dial makes him callable.</t>
        </is>
      </c>
    </row>
    <row r="36" ht="28" customHeight="1">
      <c r="A36" s="4" t="inlineStr">
        <is>
          <t>5. Community Bank of Louisiana. Roster is complete and the Hildebrands just moved ~$190MM from Edward Jones. Ready to work today.</t>
        </is>
      </c>
    </row>
    <row r="38">
      <c r="A38" s="5" t="inlineStr">
        <is>
          <t>Named people in this workbook:</t>
        </is>
      </c>
      <c r="B38" s="5">
        <f>'Master List'!D61</f>
        <v/>
      </c>
    </row>
    <row r="40">
      <c r="A40" s="14" t="inlineStr">
        <is>
          <t>Note: the summary count cells are live formulas. They populate the moment you open this file in Excel.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38" customWidth="1" min="3" max="3"/>
    <col width="10" customWidth="1" min="4" max="4"/>
    <col width="30" customWidth="1" min="5" max="5"/>
    <col width="44" customWidth="1" min="6" max="6"/>
    <col width="20" customWidth="1" min="7" max="7"/>
    <col width="26" customWidth="1" min="8" max="8"/>
    <col width="34" customWidth="1" min="9" max="9"/>
    <col width="12" customWidth="1" min="10" max="10"/>
  </cols>
  <sheetData>
    <row r="1">
      <c r="A1" s="6" t="inlineStr">
        <is>
          <t>Master List — every named person, all banks</t>
        </is>
      </c>
    </row>
    <row r="2">
      <c r="A2" s="2" t="inlineStr">
        <is>
          <t>Sort or filter this tab. Per-bank detail, addresses and notes live on the individual bank tabs.</t>
        </is>
      </c>
    </row>
    <row r="4">
      <c r="A4" s="7" t="inlineStr">
        <is>
          <t>Bank</t>
        </is>
      </c>
      <c r="B4" s="7" t="inlineStr">
        <is>
          <t>Advisor / Contact</t>
        </is>
      </c>
      <c r="C4" s="7" t="inlineStr">
        <is>
          <t>Title / Role</t>
        </is>
      </c>
      <c r="D4" s="7" t="inlineStr">
        <is>
          <t>CRD</t>
        </is>
      </c>
      <c r="E4" s="7" t="inlineStr">
        <is>
          <t>Broker-Dealer</t>
        </is>
      </c>
      <c r="F4" s="7" t="inlineStr">
        <is>
          <t>Clearing &amp; Custody</t>
        </is>
      </c>
      <c r="G4" s="7" t="inlineStr">
        <is>
          <t>City</t>
        </is>
      </c>
      <c r="H4" s="7" t="inlineStr">
        <is>
          <t>Phone</t>
        </is>
      </c>
      <c r="I4" s="7" t="inlineStr">
        <is>
          <t>Email</t>
        </is>
      </c>
      <c r="J4" s="7" t="inlineStr">
        <is>
          <t>Confidence</t>
        </is>
      </c>
    </row>
    <row r="5">
      <c r="A5" s="8" t="inlineStr">
        <is>
          <t>Red River Bank</t>
        </is>
      </c>
      <c r="B5" s="8" t="inlineStr">
        <is>
          <t>Cohen LaCour, CFP</t>
        </is>
      </c>
      <c r="C5" s="9" t="inlineStr">
        <is>
          <t>Investment Executive</t>
        </is>
      </c>
      <c r="D5" s="8" t="inlineStr">
        <is>
          <t>7255615</t>
        </is>
      </c>
      <c r="E5" s="8" t="inlineStr">
        <is>
          <t>LPL Financial</t>
        </is>
      </c>
      <c r="F5" s="9" t="inlineStr">
        <is>
          <t>Self-clearing (LPL)</t>
        </is>
      </c>
      <c r="G5" s="8" t="inlineStr">
        <is>
          <t>Alexandria / statewide</t>
        </is>
      </c>
      <c r="H5" s="8" t="inlineStr"/>
      <c r="I5" s="8" t="inlineStr">
        <is>
          <t>cohen.lacour@redriverinvest.net</t>
        </is>
      </c>
      <c r="J5" s="8" t="inlineStr">
        <is>
          <t>High</t>
        </is>
      </c>
    </row>
    <row r="6">
      <c r="A6" s="8" t="inlineStr">
        <is>
          <t>Red River Bank</t>
        </is>
      </c>
      <c r="B6" s="8" t="inlineStr">
        <is>
          <t>James Farrish</t>
        </is>
      </c>
      <c r="C6" s="9" t="inlineStr">
        <is>
          <t>Investment Executive</t>
        </is>
      </c>
      <c r="D6" s="8" t="inlineStr">
        <is>
          <t>6944233</t>
        </is>
      </c>
      <c r="E6" s="8" t="inlineStr">
        <is>
          <t>LPL Financial</t>
        </is>
      </c>
      <c r="F6" s="9" t="inlineStr">
        <is>
          <t>Self-clearing (LPL)</t>
        </is>
      </c>
      <c r="G6" s="8" t="inlineStr">
        <is>
          <t>Baton Rouge</t>
        </is>
      </c>
      <c r="H6" s="8" t="inlineStr">
        <is>
          <t>225-928-8240</t>
        </is>
      </c>
      <c r="I6" s="8" t="inlineStr">
        <is>
          <t>james.farrish@redriverinvest.net</t>
        </is>
      </c>
      <c r="J6" s="8" t="inlineStr">
        <is>
          <t>High</t>
        </is>
      </c>
    </row>
    <row r="7">
      <c r="A7" s="8" t="inlineStr">
        <is>
          <t>Red River Bank</t>
        </is>
      </c>
      <c r="B7" s="8" t="inlineStr">
        <is>
          <t>Heath Wester</t>
        </is>
      </c>
      <c r="C7" s="9" t="inlineStr">
        <is>
          <t>Investment Executive</t>
        </is>
      </c>
      <c r="D7" s="8" t="inlineStr">
        <is>
          <t>5644666</t>
        </is>
      </c>
      <c r="E7" s="8" t="inlineStr">
        <is>
          <t>LPL Financial</t>
        </is>
      </c>
      <c r="F7" s="9" t="inlineStr">
        <is>
          <t>Self-clearing (LPL)</t>
        </is>
      </c>
      <c r="G7" s="8" t="inlineStr">
        <is>
          <t>Shreveport area</t>
        </is>
      </c>
      <c r="H7" s="8" t="inlineStr">
        <is>
          <t>318-561-5901</t>
        </is>
      </c>
      <c r="I7" s="8" t="inlineStr">
        <is>
          <t>heath.wester@redriverinvest.net</t>
        </is>
      </c>
      <c r="J7" s="8" t="inlineStr">
        <is>
          <t>High</t>
        </is>
      </c>
    </row>
    <row r="8">
      <c r="A8" s="8" t="inlineStr">
        <is>
          <t>Red River Bank</t>
        </is>
      </c>
      <c r="B8" s="8" t="inlineStr">
        <is>
          <t>Terrell Kalmbach</t>
        </is>
      </c>
      <c r="C8" s="9" t="inlineStr">
        <is>
          <t>Investment Executive</t>
        </is>
      </c>
      <c r="D8" s="8" t="inlineStr"/>
      <c r="E8" s="8" t="inlineStr">
        <is>
          <t>LPL Financial</t>
        </is>
      </c>
      <c r="F8" s="9" t="inlineStr">
        <is>
          <t>Self-clearing (LPL)</t>
        </is>
      </c>
      <c r="G8" s="8" t="inlineStr">
        <is>
          <t>Shreveport / New Orleans</t>
        </is>
      </c>
      <c r="H8" s="8" t="inlineStr">
        <is>
          <t>318-675-2915</t>
        </is>
      </c>
      <c r="I8" s="8" t="inlineStr">
        <is>
          <t>terrell.kalmbachjr@lpl.com</t>
        </is>
      </c>
      <c r="J8" s="8" t="inlineStr">
        <is>
          <t>Moderate</t>
        </is>
      </c>
    </row>
    <row r="9">
      <c r="A9" s="8" t="inlineStr">
        <is>
          <t>Home Bank</t>
        </is>
      </c>
      <c r="B9" s="8" t="inlineStr">
        <is>
          <t>Ben Laville</t>
        </is>
      </c>
      <c r="C9" s="9" t="inlineStr">
        <is>
          <t>VP / Financial Advisor</t>
        </is>
      </c>
      <c r="D9" s="8" t="inlineStr"/>
      <c r="E9" s="8" t="inlineStr">
        <is>
          <t>LPL Financial</t>
        </is>
      </c>
      <c r="F9" s="9" t="inlineStr">
        <is>
          <t>Self-clearing (LPL)</t>
        </is>
      </c>
      <c r="G9" s="8" t="inlineStr">
        <is>
          <t>Mandeville</t>
        </is>
      </c>
      <c r="H9" s="8" t="inlineStr"/>
      <c r="I9" s="8" t="inlineStr"/>
      <c r="J9" s="8" t="inlineStr">
        <is>
          <t>Moderate</t>
        </is>
      </c>
    </row>
    <row r="10">
      <c r="A10" s="8" t="inlineStr">
        <is>
          <t>Home Bank</t>
        </is>
      </c>
      <c r="B10" s="8" t="inlineStr">
        <is>
          <t>Brad (surname not found)</t>
        </is>
      </c>
      <c r="C10" s="9" t="inlineStr">
        <is>
          <t>Branch Mgr &amp; Portfolio Manager</t>
        </is>
      </c>
      <c r="D10" s="8" t="inlineStr"/>
      <c r="E10" s="8" t="inlineStr">
        <is>
          <t>LPL Financial</t>
        </is>
      </c>
      <c r="F10" s="9" t="inlineStr">
        <is>
          <t>Self-clearing (LPL)</t>
        </is>
      </c>
      <c r="G10" s="8" t="inlineStr">
        <is>
          <t>Lafayette</t>
        </is>
      </c>
      <c r="H10" s="8" t="inlineStr">
        <is>
          <t>337-572-3674</t>
        </is>
      </c>
      <c r="I10" s="8" t="inlineStr"/>
      <c r="J10" s="8" t="inlineStr">
        <is>
          <t>Moderate</t>
        </is>
      </c>
    </row>
    <row r="11">
      <c r="A11" s="8" t="inlineStr">
        <is>
          <t>Home Bank</t>
        </is>
      </c>
      <c r="B11" s="8" t="inlineStr">
        <is>
          <t>Emily Poupart</t>
        </is>
      </c>
      <c r="C11" s="9" t="inlineStr">
        <is>
          <t>Account Advisor</t>
        </is>
      </c>
      <c r="D11" s="8" t="inlineStr"/>
      <c r="E11" s="8" t="inlineStr"/>
      <c r="F11" s="9" t="inlineStr"/>
      <c r="G11" s="8" t="inlineStr">
        <is>
          <t>Lafayette</t>
        </is>
      </c>
      <c r="H11" s="8" t="inlineStr">
        <is>
          <t>337-572-3674</t>
        </is>
      </c>
      <c r="I11" s="8" t="inlineStr"/>
      <c r="J11" s="8" t="inlineStr">
        <is>
          <t>Moderate</t>
        </is>
      </c>
    </row>
    <row r="12">
      <c r="A12" s="8" t="inlineStr">
        <is>
          <t>Home Bank</t>
        </is>
      </c>
      <c r="B12" s="8" t="inlineStr">
        <is>
          <t>Kristie Vead</t>
        </is>
      </c>
      <c r="C12" s="9" t="inlineStr">
        <is>
          <t>Financial Advisor Assistant</t>
        </is>
      </c>
      <c r="D12" s="8" t="inlineStr"/>
      <c r="E12" s="8" t="inlineStr"/>
      <c r="F12" s="9" t="inlineStr"/>
      <c r="G12" s="8" t="inlineStr">
        <is>
          <t>Mandeville</t>
        </is>
      </c>
      <c r="H12" s="8" t="inlineStr"/>
      <c r="I12" s="8" t="inlineStr"/>
      <c r="J12" s="8" t="inlineStr">
        <is>
          <t>Moderate</t>
        </is>
      </c>
    </row>
    <row r="13">
      <c r="A13" s="8" t="inlineStr">
        <is>
          <t>First Federal Bank of LA</t>
        </is>
      </c>
      <c r="B13" s="8" t="inlineStr">
        <is>
          <t>Rick Eisner</t>
        </is>
      </c>
      <c r="C13" s="9" t="inlineStr">
        <is>
          <t>Senior Financial Advisor</t>
        </is>
      </c>
      <c r="D13" s="8" t="inlineStr">
        <is>
          <t>4217202</t>
        </is>
      </c>
      <c r="E13" s="8" t="inlineStr">
        <is>
          <t>LPL Financial</t>
        </is>
      </c>
      <c r="F13" s="9" t="inlineStr">
        <is>
          <t>Self-clearing (LPL)</t>
        </is>
      </c>
      <c r="G13" s="8" t="inlineStr">
        <is>
          <t>Lake Charles</t>
        </is>
      </c>
      <c r="H13" s="8" t="inlineStr">
        <is>
          <t>337-478-6464</t>
        </is>
      </c>
      <c r="I13" s="8" t="inlineStr"/>
      <c r="J13" s="8" t="inlineStr">
        <is>
          <t>High</t>
        </is>
      </c>
    </row>
    <row r="14">
      <c r="A14" s="8" t="inlineStr">
        <is>
          <t>First Federal Bank of LA</t>
        </is>
      </c>
      <c r="B14" s="8" t="inlineStr">
        <is>
          <t>Grant Cholley</t>
        </is>
      </c>
      <c r="C14" s="9" t="inlineStr">
        <is>
          <t>Financial Advisor</t>
        </is>
      </c>
      <c r="D14" s="8" t="inlineStr"/>
      <c r="E14" s="8" t="inlineStr">
        <is>
          <t>LPL Financial</t>
        </is>
      </c>
      <c r="F14" s="9" t="inlineStr">
        <is>
          <t>Self-clearing (LPL)</t>
        </is>
      </c>
      <c r="G14" s="8" t="inlineStr">
        <is>
          <t>Lake Charles / Sulphur</t>
        </is>
      </c>
      <c r="H14" s="8" t="inlineStr">
        <is>
          <t>337-478-6464</t>
        </is>
      </c>
      <c r="I14" s="8" t="inlineStr"/>
      <c r="J14" s="8" t="inlineStr">
        <is>
          <t>Moderate</t>
        </is>
      </c>
    </row>
    <row r="15">
      <c r="A15" s="8" t="inlineStr">
        <is>
          <t>First Federal Bank of LA</t>
        </is>
      </c>
      <c r="B15" s="8" t="inlineStr">
        <is>
          <t>Janet LeLeux</t>
        </is>
      </c>
      <c r="C15" s="9" t="inlineStr">
        <is>
          <t>Financial Advisor</t>
        </is>
      </c>
      <c r="D15" s="8" t="inlineStr"/>
      <c r="E15" s="8" t="inlineStr">
        <is>
          <t>LPL Financial</t>
        </is>
      </c>
      <c r="F15" s="9" t="inlineStr">
        <is>
          <t>Self-clearing (LPL)</t>
        </is>
      </c>
      <c r="G15" s="8" t="inlineStr">
        <is>
          <t>Lake Charles / Sulphur</t>
        </is>
      </c>
      <c r="H15" s="8" t="inlineStr">
        <is>
          <t>337-625-3018</t>
        </is>
      </c>
      <c r="I15" s="8" t="inlineStr"/>
      <c r="J15" s="8" t="inlineStr">
        <is>
          <t>Moderate</t>
        </is>
      </c>
    </row>
    <row r="16">
      <c r="A16" s="8" t="inlineStr">
        <is>
          <t>First Federal Bank of LA</t>
        </is>
      </c>
      <c r="B16" s="8" t="inlineStr">
        <is>
          <t>Frank McNamara</t>
        </is>
      </c>
      <c r="C16" s="9" t="inlineStr">
        <is>
          <t>Advisor (probable)</t>
        </is>
      </c>
      <c r="D16" s="8" t="inlineStr"/>
      <c r="E16" s="8" t="inlineStr">
        <is>
          <t>LPL Financial</t>
        </is>
      </c>
      <c r="F16" s="9" t="inlineStr">
        <is>
          <t>Self-clearing (LPL)</t>
        </is>
      </c>
      <c r="G16" s="8" t="inlineStr">
        <is>
          <t>Lake Charles / Sulphur</t>
        </is>
      </c>
      <c r="H16" s="8" t="inlineStr"/>
      <c r="I16" s="8" t="inlineStr"/>
      <c r="J16" s="8" t="inlineStr">
        <is>
          <t>Low</t>
        </is>
      </c>
    </row>
    <row r="17">
      <c r="A17" s="8" t="inlineStr">
        <is>
          <t>Synergy Bank</t>
        </is>
      </c>
      <c r="B17" s="8" t="inlineStr">
        <is>
          <t>Ann Summers, CFP</t>
        </is>
      </c>
      <c r="C17" s="9" t="inlineStr">
        <is>
          <t>LPL Program Manager</t>
        </is>
      </c>
      <c r="D17" s="8" t="inlineStr"/>
      <c r="E17" s="8" t="inlineStr">
        <is>
          <t>LPL Financial</t>
        </is>
      </c>
      <c r="F17" s="9" t="inlineStr">
        <is>
          <t>Self-clearing (LPL)</t>
        </is>
      </c>
      <c r="G17" s="8" t="inlineStr">
        <is>
          <t>Houma</t>
        </is>
      </c>
      <c r="H17" s="8" t="inlineStr">
        <is>
          <t>985-851-5459</t>
        </is>
      </c>
      <c r="I17" s="8" t="inlineStr"/>
      <c r="J17" s="8" t="inlineStr">
        <is>
          <t>High</t>
        </is>
      </c>
    </row>
    <row r="18">
      <c r="A18" s="8" t="inlineStr">
        <is>
          <t>BankPlus</t>
        </is>
      </c>
      <c r="B18" s="8" t="inlineStr">
        <is>
          <t>Robert / Sam Bruner</t>
        </is>
      </c>
      <c r="C18" s="9" t="inlineStr">
        <is>
          <t>Financial Advisor</t>
        </is>
      </c>
      <c r="D18" s="8" t="inlineStr"/>
      <c r="E18" s="8" t="inlineStr">
        <is>
          <t>LPL Financial</t>
        </is>
      </c>
      <c r="F18" s="9" t="inlineStr">
        <is>
          <t>Self-clearing (LPL)</t>
        </is>
      </c>
      <c r="G18" s="8" t="inlineStr">
        <is>
          <t>New Orleans</t>
        </is>
      </c>
      <c r="H18" s="8" t="inlineStr"/>
      <c r="I18" s="8" t="inlineStr"/>
      <c r="J18" s="8" t="inlineStr">
        <is>
          <t>Low</t>
        </is>
      </c>
    </row>
    <row r="19">
      <c r="A19" s="8" t="inlineStr">
        <is>
          <t>First Horizon</t>
        </is>
      </c>
      <c r="B19" s="8" t="inlineStr">
        <is>
          <t>Ben Webre</t>
        </is>
      </c>
      <c r="C19" s="9" t="inlineStr">
        <is>
          <t>SVP, Financial Advisor</t>
        </is>
      </c>
      <c r="D19" s="8" t="inlineStr">
        <is>
          <t>4372830</t>
        </is>
      </c>
      <c r="E19" s="8" t="inlineStr">
        <is>
          <t>LPL Financial</t>
        </is>
      </c>
      <c r="F19" s="9" t="inlineStr">
        <is>
          <t>Self-clearing (LPL)</t>
        </is>
      </c>
      <c r="G19" s="8" t="inlineStr">
        <is>
          <t>Lafayette</t>
        </is>
      </c>
      <c r="H19" s="8" t="inlineStr">
        <is>
          <t>337-521-4634</t>
        </is>
      </c>
      <c r="I19" s="8" t="inlineStr">
        <is>
          <t>ben.webre@firsthorizon.com</t>
        </is>
      </c>
      <c r="J19" s="8" t="inlineStr">
        <is>
          <t>High</t>
        </is>
      </c>
    </row>
    <row r="20">
      <c r="A20" s="8" t="inlineStr">
        <is>
          <t>Gulf Coast Bank (Abbeville)</t>
        </is>
      </c>
      <c r="B20" s="8" t="inlineStr">
        <is>
          <t>Jennifer (surname not found)</t>
        </is>
      </c>
      <c r="C20" s="9" t="inlineStr">
        <is>
          <t>Investment staff</t>
        </is>
      </c>
      <c r="D20" s="8" t="inlineStr"/>
      <c r="E20" s="8" t="inlineStr">
        <is>
          <t>LPL Financial</t>
        </is>
      </c>
      <c r="F20" s="9" t="inlineStr">
        <is>
          <t>Self-clearing (LPL)</t>
        </is>
      </c>
      <c r="G20" s="8" t="inlineStr">
        <is>
          <t>Lafayette</t>
        </is>
      </c>
      <c r="H20" s="8" t="inlineStr"/>
      <c r="I20" s="8" t="inlineStr"/>
      <c r="J20" s="8" t="inlineStr">
        <is>
          <t>Low</t>
        </is>
      </c>
    </row>
    <row r="21">
      <c r="A21" s="8" t="inlineStr">
        <is>
          <t>Hancock Whitney</t>
        </is>
      </c>
      <c r="B21" s="8" t="inlineStr">
        <is>
          <t>John S. "Trey" Nordan</t>
        </is>
      </c>
      <c r="C21" s="9" t="inlineStr">
        <is>
          <t>Senior Financial Advisor</t>
        </is>
      </c>
      <c r="D21" s="8" t="inlineStr"/>
      <c r="E21" s="8" t="inlineStr">
        <is>
          <t>Cetera Investment Services</t>
        </is>
      </c>
      <c r="F21" s="9" t="inlineStr">
        <is>
          <t>Pershing / NFS / Cetera self-clear (advisor choice)</t>
        </is>
      </c>
      <c r="G21" s="8" t="inlineStr">
        <is>
          <t>Louisiana</t>
        </is>
      </c>
      <c r="H21" s="8" t="inlineStr">
        <is>
          <t>800-385-4188</t>
        </is>
      </c>
      <c r="I21" s="8" t="inlineStr"/>
      <c r="J21" s="8" t="inlineStr">
        <is>
          <t>Moderate</t>
        </is>
      </c>
    </row>
    <row r="22">
      <c r="A22" s="8" t="inlineStr">
        <is>
          <t>Regions Bank</t>
        </is>
      </c>
      <c r="B22" s="8" t="inlineStr">
        <is>
          <t>Bruno Villar</t>
        </is>
      </c>
      <c r="C22" s="9" t="inlineStr">
        <is>
          <t>Financial Advisor</t>
        </is>
      </c>
      <c r="D22" s="8" t="inlineStr">
        <is>
          <t>7381698</t>
        </is>
      </c>
      <c r="E22" s="8" t="inlineStr">
        <is>
          <t>Cetera Investment Services</t>
        </is>
      </c>
      <c r="F22" s="9" t="inlineStr">
        <is>
          <t>Pershing / NFS / Cetera self-clear (advisor choice)</t>
        </is>
      </c>
      <c r="G22" s="8" t="inlineStr">
        <is>
          <t>Baton Rouge</t>
        </is>
      </c>
      <c r="H22" s="8" t="inlineStr">
        <is>
          <t>1-800-598-9164</t>
        </is>
      </c>
      <c r="I22" s="8" t="inlineStr"/>
      <c r="J22" s="8" t="inlineStr">
        <is>
          <t>High</t>
        </is>
      </c>
    </row>
    <row r="23">
      <c r="A23" s="8" t="inlineStr">
        <is>
          <t>Regions Bank</t>
        </is>
      </c>
      <c r="B23" s="8" t="inlineStr">
        <is>
          <t>Kimberly Slack</t>
        </is>
      </c>
      <c r="C23" s="9" t="inlineStr">
        <is>
          <t>Financial Advisor</t>
        </is>
      </c>
      <c r="D23" s="8" t="inlineStr">
        <is>
          <t>4366281</t>
        </is>
      </c>
      <c r="E23" s="8" t="inlineStr">
        <is>
          <t>Cetera Investment Services</t>
        </is>
      </c>
      <c r="F23" s="9" t="inlineStr">
        <is>
          <t>Pershing / NFS / Cetera self-clear (advisor choice)</t>
        </is>
      </c>
      <c r="G23" s="8" t="inlineStr">
        <is>
          <t>Shreveport</t>
        </is>
      </c>
      <c r="H23" s="8" t="inlineStr">
        <is>
          <t>1-800-598-9164</t>
        </is>
      </c>
      <c r="I23" s="8" t="inlineStr"/>
      <c r="J23" s="8" t="inlineStr">
        <is>
          <t>High</t>
        </is>
      </c>
    </row>
    <row r="24">
      <c r="A24" s="8" t="inlineStr">
        <is>
          <t>Regions Bank</t>
        </is>
      </c>
      <c r="B24" s="8" t="inlineStr">
        <is>
          <t>Ami Patel</t>
        </is>
      </c>
      <c r="C24" s="9" t="inlineStr">
        <is>
          <t>Financial Advisor</t>
        </is>
      </c>
      <c r="D24" s="8" t="inlineStr">
        <is>
          <t>7085828</t>
        </is>
      </c>
      <c r="E24" s="8" t="inlineStr">
        <is>
          <t>Cetera Investment Services</t>
        </is>
      </c>
      <c r="F24" s="9" t="inlineStr">
        <is>
          <t>Pershing / NFS / Cetera self-clear (advisor choice)</t>
        </is>
      </c>
      <c r="G24" s="8" t="inlineStr">
        <is>
          <t>Shreveport</t>
        </is>
      </c>
      <c r="H24" s="8" t="inlineStr">
        <is>
          <t>1-800-598-9164</t>
        </is>
      </c>
      <c r="I24" s="8" t="inlineStr"/>
      <c r="J24" s="8" t="inlineStr">
        <is>
          <t>High</t>
        </is>
      </c>
    </row>
    <row r="25">
      <c r="A25" s="8" t="inlineStr">
        <is>
          <t>Regions Bank</t>
        </is>
      </c>
      <c r="B25" s="8" t="inlineStr">
        <is>
          <t>William Haynes</t>
        </is>
      </c>
      <c r="C25" s="9" t="inlineStr">
        <is>
          <t>Financial Advisor</t>
        </is>
      </c>
      <c r="D25" s="8" t="inlineStr">
        <is>
          <t>6373412</t>
        </is>
      </c>
      <c r="E25" s="8" t="inlineStr">
        <is>
          <t>Cetera Investment Services</t>
        </is>
      </c>
      <c r="F25" s="9" t="inlineStr">
        <is>
          <t>Pershing / NFS / Cetera self-clear (advisor choice)</t>
        </is>
      </c>
      <c r="G25" s="8" t="inlineStr">
        <is>
          <t>Bossier City</t>
        </is>
      </c>
      <c r="H25" s="8" t="inlineStr">
        <is>
          <t>1-800-598-9164</t>
        </is>
      </c>
      <c r="I25" s="8" t="inlineStr"/>
      <c r="J25" s="8" t="inlineStr">
        <is>
          <t>High</t>
        </is>
      </c>
    </row>
    <row r="26">
      <c r="A26" s="8" t="inlineStr">
        <is>
          <t>Regions Bank</t>
        </is>
      </c>
      <c r="B26" s="8" t="inlineStr">
        <is>
          <t>William Teague</t>
        </is>
      </c>
      <c r="C26" s="9" t="inlineStr">
        <is>
          <t>Financial Advisor</t>
        </is>
      </c>
      <c r="D26" s="8" t="inlineStr">
        <is>
          <t>6247343 (disputed)</t>
        </is>
      </c>
      <c r="E26" s="8" t="inlineStr">
        <is>
          <t>Cetera Investment Services</t>
        </is>
      </c>
      <c r="F26" s="9" t="inlineStr">
        <is>
          <t>Pershing / NFS / Cetera self-clear (advisor choice)</t>
        </is>
      </c>
      <c r="G26" s="8" t="inlineStr">
        <is>
          <t>Gretna / Harvey</t>
        </is>
      </c>
      <c r="H26" s="8" t="inlineStr">
        <is>
          <t>1-800-598-9164</t>
        </is>
      </c>
      <c r="I26" s="8" t="inlineStr"/>
      <c r="J26" s="8" t="inlineStr">
        <is>
          <t>Low</t>
        </is>
      </c>
    </row>
    <row r="27">
      <c r="A27" s="8" t="inlineStr">
        <is>
          <t>Bank of St. Francisville</t>
        </is>
      </c>
      <c r="B27" s="8" t="inlineStr">
        <is>
          <t>Pamela Malara</t>
        </is>
      </c>
      <c r="C27" s="9" t="inlineStr">
        <is>
          <t>Financial Advisor / IAR</t>
        </is>
      </c>
      <c r="D27" s="8" t="inlineStr">
        <is>
          <t>2608893</t>
        </is>
      </c>
      <c r="E27" s="8" t="inlineStr">
        <is>
          <t>Cetera Investment Services</t>
        </is>
      </c>
      <c r="F27" s="9" t="inlineStr">
        <is>
          <t>Pershing / NFS / Cetera self-clear (advisor choice)</t>
        </is>
      </c>
      <c r="G27" s="8" t="inlineStr">
        <is>
          <t>St. Francisville</t>
        </is>
      </c>
      <c r="H27" s="8" t="inlineStr">
        <is>
          <t>(225) 635-0047</t>
        </is>
      </c>
      <c r="I27" s="8" t="inlineStr"/>
      <c r="J27" s="8" t="inlineStr">
        <is>
          <t>High</t>
        </is>
      </c>
    </row>
    <row r="28">
      <c r="A28" s="8" t="inlineStr">
        <is>
          <t>Bank of St. Francisville</t>
        </is>
      </c>
      <c r="B28" s="8" t="inlineStr">
        <is>
          <t>Joseph Malara</t>
        </is>
      </c>
      <c r="C28" s="9" t="inlineStr">
        <is>
          <t>Financial Advisor</t>
        </is>
      </c>
      <c r="D28" s="8" t="inlineStr">
        <is>
          <t>4975927</t>
        </is>
      </c>
      <c r="E28" s="8" t="inlineStr">
        <is>
          <t>Cetera Investment Services</t>
        </is>
      </c>
      <c r="F28" s="9" t="inlineStr">
        <is>
          <t>Pershing / NFS / Cetera self-clear (advisor choice)</t>
        </is>
      </c>
      <c r="G28" s="8" t="inlineStr">
        <is>
          <t>St. Francisville</t>
        </is>
      </c>
      <c r="H28" s="8" t="inlineStr">
        <is>
          <t>(225) 635-0047</t>
        </is>
      </c>
      <c r="I28" s="8" t="inlineStr"/>
      <c r="J28" s="8" t="inlineStr">
        <is>
          <t>High</t>
        </is>
      </c>
    </row>
    <row r="29">
      <c r="A29" s="8" t="inlineStr">
        <is>
          <t>b1BANK</t>
        </is>
      </c>
      <c r="B29" s="8" t="inlineStr">
        <is>
          <t>Jeremy A. Parker</t>
        </is>
      </c>
      <c r="C29" s="9" t="inlineStr">
        <is>
          <t>Financial Advisor</t>
        </is>
      </c>
      <c r="D29" s="8" t="inlineStr"/>
      <c r="E29" s="8" t="inlineStr">
        <is>
          <t>Raymond James Fin. Svcs</t>
        </is>
      </c>
      <c r="F29" s="9" t="inlineStr">
        <is>
          <t>Self-clearing (Raymond James &amp; Assoc.)</t>
        </is>
      </c>
      <c r="G29" s="8" t="inlineStr">
        <is>
          <t>Lafayette</t>
        </is>
      </c>
      <c r="H29" s="8" t="inlineStr"/>
      <c r="I29" s="8" t="inlineStr"/>
      <c r="J29" s="8" t="inlineStr">
        <is>
          <t>High</t>
        </is>
      </c>
    </row>
    <row r="30">
      <c r="A30" s="8" t="inlineStr">
        <is>
          <t>b1BANK</t>
        </is>
      </c>
      <c r="B30" s="8" t="inlineStr">
        <is>
          <t>Name not found</t>
        </is>
      </c>
      <c r="C30" s="9" t="inlineStr">
        <is>
          <t>SVP, b1 Wealth Solutions FA</t>
        </is>
      </c>
      <c r="D30" s="8" t="inlineStr"/>
      <c r="E30" s="8" t="inlineStr">
        <is>
          <t>Raymond James Fin. Svcs</t>
        </is>
      </c>
      <c r="F30" s="9" t="inlineStr">
        <is>
          <t>Self-clearing (Raymond James &amp; Assoc.)</t>
        </is>
      </c>
      <c r="G30" s="8" t="inlineStr">
        <is>
          <t>Lafayette</t>
        </is>
      </c>
      <c r="H30" s="8" t="inlineStr"/>
      <c r="I30" s="8" t="inlineStr"/>
      <c r="J30" s="8" t="inlineStr">
        <is>
          <t>Low</t>
        </is>
      </c>
    </row>
    <row r="31">
      <c r="A31" s="8" t="inlineStr">
        <is>
          <t>Community Bank of Louisiana</t>
        </is>
      </c>
      <c r="B31" s="8" t="inlineStr">
        <is>
          <t>Tim Brown</t>
        </is>
      </c>
      <c r="C31" s="9" t="inlineStr">
        <is>
          <t>Program Manager &amp; FA</t>
        </is>
      </c>
      <c r="D31" s="8" t="inlineStr">
        <is>
          <t>1018810</t>
        </is>
      </c>
      <c r="E31" s="8" t="inlineStr">
        <is>
          <t>Ameriprise Financial Services</t>
        </is>
      </c>
      <c r="F31" s="9" t="inlineStr">
        <is>
          <t>Self-clearing (AEIS)</t>
        </is>
      </c>
      <c r="G31" s="8" t="inlineStr">
        <is>
          <t>Shreveport</t>
        </is>
      </c>
      <c r="H31" s="8" t="inlineStr"/>
      <c r="I31" s="8" t="inlineStr"/>
      <c r="J31" s="8" t="inlineStr">
        <is>
          <t>High</t>
        </is>
      </c>
    </row>
    <row r="32">
      <c r="A32" s="8" t="inlineStr">
        <is>
          <t>Community Bank of Louisiana</t>
        </is>
      </c>
      <c r="B32" s="8" t="inlineStr">
        <is>
          <t>Wiley LaVigne</t>
        </is>
      </c>
      <c r="C32" s="9" t="inlineStr">
        <is>
          <t>Financial Advisor</t>
        </is>
      </c>
      <c r="D32" s="8" t="inlineStr"/>
      <c r="E32" s="8" t="inlineStr">
        <is>
          <t>Ameriprise Financial Services</t>
        </is>
      </c>
      <c r="F32" s="9" t="inlineStr">
        <is>
          <t>Self-clearing (AEIS)</t>
        </is>
      </c>
      <c r="G32" s="8" t="inlineStr">
        <is>
          <t>Shreveport</t>
        </is>
      </c>
      <c r="H32" s="8" t="inlineStr"/>
      <c r="I32" s="8" t="inlineStr"/>
      <c r="J32" s="8" t="inlineStr">
        <is>
          <t>High</t>
        </is>
      </c>
    </row>
    <row r="33">
      <c r="A33" s="8" t="inlineStr">
        <is>
          <t>Community Bank of Louisiana</t>
        </is>
      </c>
      <c r="B33" s="8" t="inlineStr">
        <is>
          <t>Bryan Hildebrand</t>
        </is>
      </c>
      <c r="C33" s="9" t="inlineStr">
        <is>
          <t>Financial Advisor</t>
        </is>
      </c>
      <c r="D33" s="8" t="inlineStr"/>
      <c r="E33" s="8" t="inlineStr">
        <is>
          <t>Ameriprise Financial Services</t>
        </is>
      </c>
      <c r="F33" s="9" t="inlineStr">
        <is>
          <t>Self-clearing (AEIS)</t>
        </is>
      </c>
      <c r="G33" s="8" t="inlineStr">
        <is>
          <t>Shreveport</t>
        </is>
      </c>
      <c r="H33" s="8" t="inlineStr"/>
      <c r="I33" s="8" t="inlineStr"/>
      <c r="J33" s="8" t="inlineStr">
        <is>
          <t>High</t>
        </is>
      </c>
    </row>
    <row r="34">
      <c r="A34" s="8" t="inlineStr">
        <is>
          <t>Community Bank of Louisiana</t>
        </is>
      </c>
      <c r="B34" s="8" t="inlineStr">
        <is>
          <t>Hayden Hildebrand</t>
        </is>
      </c>
      <c r="C34" s="9" t="inlineStr">
        <is>
          <t>Financial Advisor</t>
        </is>
      </c>
      <c r="D34" s="8" t="inlineStr"/>
      <c r="E34" s="8" t="inlineStr">
        <is>
          <t>Ameriprise Financial Services</t>
        </is>
      </c>
      <c r="F34" s="9" t="inlineStr">
        <is>
          <t>Self-clearing (AEIS)</t>
        </is>
      </c>
      <c r="G34" s="8" t="inlineStr">
        <is>
          <t>Shreveport</t>
        </is>
      </c>
      <c r="H34" s="8" t="inlineStr"/>
      <c r="I34" s="8" t="inlineStr"/>
      <c r="J34" s="8" t="inlineStr">
        <is>
          <t>High</t>
        </is>
      </c>
    </row>
    <row r="35">
      <c r="A35" s="8" t="inlineStr">
        <is>
          <t>Community Bank of Louisiana</t>
        </is>
      </c>
      <c r="B35" s="8" t="inlineStr">
        <is>
          <t>Abigail Sibley</t>
        </is>
      </c>
      <c r="C35" s="9" t="inlineStr">
        <is>
          <t>Client Service Specialist</t>
        </is>
      </c>
      <c r="D35" s="8" t="inlineStr"/>
      <c r="E35" s="8" t="inlineStr"/>
      <c r="F35" s="9" t="inlineStr"/>
      <c r="G35" s="8" t="inlineStr">
        <is>
          <t>Shreveport</t>
        </is>
      </c>
      <c r="H35" s="8" t="inlineStr"/>
      <c r="I35" s="8" t="inlineStr"/>
      <c r="J35" s="8" t="inlineStr">
        <is>
          <t>High</t>
        </is>
      </c>
    </row>
    <row r="36">
      <c r="A36" s="8" t="inlineStr">
        <is>
          <t>Gulf Coast Bank &amp; Trust</t>
        </is>
      </c>
      <c r="B36" s="8" t="inlineStr">
        <is>
          <t>Jason King</t>
        </is>
      </c>
      <c r="C36" s="9" t="inlineStr">
        <is>
          <t>Wealth Management Director</t>
        </is>
      </c>
      <c r="D36" s="8" t="inlineStr">
        <is>
          <t>4296683 (unconfirmed)</t>
        </is>
      </c>
      <c r="E36" s="8" t="inlineStr">
        <is>
          <t>Arkadios Capital</t>
        </is>
      </c>
      <c r="F36" s="9" t="inlineStr">
        <is>
          <t>Not confirmed</t>
        </is>
      </c>
      <c r="G36" s="8" t="inlineStr">
        <is>
          <t>New Orleans</t>
        </is>
      </c>
      <c r="H36" s="8" t="inlineStr">
        <is>
          <t>1-800-223-2060</t>
        </is>
      </c>
      <c r="I36" s="8" t="inlineStr"/>
      <c r="J36" s="8" t="inlineStr">
        <is>
          <t>Low</t>
        </is>
      </c>
    </row>
    <row r="37">
      <c r="A37" s="8" t="inlineStr">
        <is>
          <t>Gulf Coast Bank &amp; Trust</t>
        </is>
      </c>
      <c r="B37" s="8" t="inlineStr">
        <is>
          <t>Patrick Talamo</t>
        </is>
      </c>
      <c r="C37" s="9" t="inlineStr">
        <is>
          <t>Financial Advisor</t>
        </is>
      </c>
      <c r="D37" s="8" t="inlineStr">
        <is>
          <t>3265077</t>
        </is>
      </c>
      <c r="E37" s="8" t="inlineStr">
        <is>
          <t>LPL (possible move)</t>
        </is>
      </c>
      <c r="F37" s="9" t="inlineStr">
        <is>
          <t>See tab note</t>
        </is>
      </c>
      <c r="G37" s="8" t="inlineStr">
        <is>
          <t>Baton Rouge</t>
        </is>
      </c>
      <c r="H37" s="8" t="inlineStr"/>
      <c r="I37" s="8" t="inlineStr"/>
      <c r="J37" s="8" t="inlineStr">
        <is>
          <t>Low</t>
        </is>
      </c>
    </row>
    <row r="38">
      <c r="A38" s="8" t="inlineStr">
        <is>
          <t>Gulf Coast Bank &amp; Trust</t>
        </is>
      </c>
      <c r="B38" s="8" t="inlineStr">
        <is>
          <t>Alfredo J. Martinez</t>
        </is>
      </c>
      <c r="C38" s="9" t="inlineStr">
        <is>
          <t>Financial Advisor</t>
        </is>
      </c>
      <c r="D38" s="8" t="inlineStr">
        <is>
          <t>4241627</t>
        </is>
      </c>
      <c r="E38" s="8" t="inlineStr">
        <is>
          <t>Arkadios Capital</t>
        </is>
      </c>
      <c r="F38" s="9" t="inlineStr">
        <is>
          <t>Not confirmed</t>
        </is>
      </c>
      <c r="G38" s="8" t="inlineStr">
        <is>
          <t>Kenner</t>
        </is>
      </c>
      <c r="H38" s="8" t="inlineStr"/>
      <c r="I38" s="8" t="inlineStr"/>
      <c r="J38" s="8" t="inlineStr">
        <is>
          <t>High</t>
        </is>
      </c>
    </row>
    <row r="39">
      <c r="A39" s="8" t="inlineStr">
        <is>
          <t>Gulf Coast Bank &amp; Trust</t>
        </is>
      </c>
      <c r="B39" s="8" t="inlineStr">
        <is>
          <t>Ryann Gallois</t>
        </is>
      </c>
      <c r="C39" s="9" t="inlineStr">
        <is>
          <t>Financial Advisor</t>
        </is>
      </c>
      <c r="D39" s="8" t="inlineStr">
        <is>
          <t>7275368</t>
        </is>
      </c>
      <c r="E39" s="8" t="inlineStr">
        <is>
          <t>Arkadios Capital</t>
        </is>
      </c>
      <c r="F39" s="9" t="inlineStr">
        <is>
          <t>Not confirmed</t>
        </is>
      </c>
      <c r="G39" s="8" t="inlineStr">
        <is>
          <t>New Orleans</t>
        </is>
      </c>
      <c r="H39" s="8" t="inlineStr"/>
      <c r="I39" s="8" t="inlineStr"/>
      <c r="J39" s="8" t="inlineStr">
        <is>
          <t>High</t>
        </is>
      </c>
    </row>
    <row r="40">
      <c r="A40" s="8" t="inlineStr">
        <is>
          <t>Gulf Coast Bank &amp; Trust</t>
        </is>
      </c>
      <c r="B40" s="8" t="inlineStr">
        <is>
          <t>Zachary Gorres</t>
        </is>
      </c>
      <c r="C40" s="9" t="inlineStr">
        <is>
          <t>Financial Advisor</t>
        </is>
      </c>
      <c r="D40" s="8" t="inlineStr"/>
      <c r="E40" s="8" t="inlineStr">
        <is>
          <t>Arkadios Capital</t>
        </is>
      </c>
      <c r="F40" s="9" t="inlineStr">
        <is>
          <t>Not confirmed</t>
        </is>
      </c>
      <c r="G40" s="8" t="inlineStr">
        <is>
          <t>Chalmette</t>
        </is>
      </c>
      <c r="H40" s="8" t="inlineStr"/>
      <c r="I40" s="8" t="inlineStr"/>
      <c r="J40" s="8" t="inlineStr">
        <is>
          <t>Low</t>
        </is>
      </c>
    </row>
    <row r="41">
      <c r="A41" s="8" t="inlineStr">
        <is>
          <t>Gulf Coast Bank &amp; Trust</t>
        </is>
      </c>
      <c r="B41" s="8" t="inlineStr">
        <is>
          <t>Slade Simons</t>
        </is>
      </c>
      <c r="C41" s="9" t="inlineStr">
        <is>
          <t>Financial Advisor</t>
        </is>
      </c>
      <c r="D41" s="8" t="inlineStr">
        <is>
          <t>2576344</t>
        </is>
      </c>
      <c r="E41" s="8" t="inlineStr">
        <is>
          <t>Arkadios Capital</t>
        </is>
      </c>
      <c r="F41" s="9" t="inlineStr">
        <is>
          <t>Not confirmed</t>
        </is>
      </c>
      <c r="G41" s="8" t="inlineStr">
        <is>
          <t>Metairie</t>
        </is>
      </c>
      <c r="H41" s="8" t="inlineStr"/>
      <c r="I41" s="8" t="inlineStr"/>
      <c r="J41" s="8" t="inlineStr">
        <is>
          <t>High</t>
        </is>
      </c>
    </row>
    <row r="42">
      <c r="A42" s="8" t="inlineStr">
        <is>
          <t>Gulf Coast Bank &amp; Trust</t>
        </is>
      </c>
      <c r="B42" s="8" t="inlineStr">
        <is>
          <t>Robyn Sherman</t>
        </is>
      </c>
      <c r="C42" s="9" t="inlineStr">
        <is>
          <t>Financial Advisor</t>
        </is>
      </c>
      <c r="D42" s="8" t="inlineStr">
        <is>
          <t>5696999</t>
        </is>
      </c>
      <c r="E42" s="8" t="inlineStr">
        <is>
          <t>Arkadios Capital</t>
        </is>
      </c>
      <c r="F42" s="9" t="inlineStr">
        <is>
          <t>Not confirmed</t>
        </is>
      </c>
      <c r="G42" s="8" t="inlineStr">
        <is>
          <t>Slidell</t>
        </is>
      </c>
      <c r="H42" s="8" t="inlineStr"/>
      <c r="I42" s="8" t="inlineStr"/>
      <c r="J42" s="8" t="inlineStr">
        <is>
          <t>Moderate</t>
        </is>
      </c>
    </row>
    <row r="43">
      <c r="A43" s="8" t="inlineStr">
        <is>
          <t>Gulf Coast Bank &amp; Trust</t>
        </is>
      </c>
      <c r="B43" s="8" t="inlineStr">
        <is>
          <t>Nicholas (surname not found)</t>
        </is>
      </c>
      <c r="C43" s="9" t="inlineStr">
        <is>
          <t>Trust Administrator</t>
        </is>
      </c>
      <c r="D43" s="8" t="inlineStr"/>
      <c r="E43" s="8" t="inlineStr">
        <is>
          <t>In-house trust</t>
        </is>
      </c>
      <c r="F43" s="9" t="inlineStr">
        <is>
          <t>Bank fiduciary</t>
        </is>
      </c>
      <c r="G43" s="8" t="inlineStr">
        <is>
          <t>New Orleans</t>
        </is>
      </c>
      <c r="H43" s="8" t="inlineStr">
        <is>
          <t>1-800-223-2060</t>
        </is>
      </c>
      <c r="I43" s="8" t="inlineStr"/>
      <c r="J43" s="8" t="inlineStr">
        <is>
          <t>Low</t>
        </is>
      </c>
    </row>
    <row r="44">
      <c r="A44" s="8" t="inlineStr">
        <is>
          <t>Gulf Coast Bank &amp; Trust</t>
        </is>
      </c>
      <c r="B44" s="8" t="inlineStr">
        <is>
          <t>Brandy (surname not found)</t>
        </is>
      </c>
      <c r="C44" s="9" t="inlineStr">
        <is>
          <t>Trust team</t>
        </is>
      </c>
      <c r="D44" s="8" t="inlineStr"/>
      <c r="E44" s="8" t="inlineStr">
        <is>
          <t>In-house trust</t>
        </is>
      </c>
      <c r="F44" s="9" t="inlineStr">
        <is>
          <t>Bank fiduciary</t>
        </is>
      </c>
      <c r="G44" s="8" t="inlineStr">
        <is>
          <t>New Orleans</t>
        </is>
      </c>
      <c r="H44" s="8" t="inlineStr">
        <is>
          <t>1-800-223-2060</t>
        </is>
      </c>
      <c r="I44" s="8" t="inlineStr"/>
      <c r="J44" s="8" t="inlineStr">
        <is>
          <t>Low</t>
        </is>
      </c>
    </row>
    <row r="45">
      <c r="A45" s="8" t="inlineStr">
        <is>
          <t>First Natl Bank of LA (Crowley)</t>
        </is>
      </c>
      <c r="B45" s="8" t="inlineStr">
        <is>
          <t>Jeremy Patin</t>
        </is>
      </c>
      <c r="C45" s="9" t="inlineStr">
        <is>
          <t>Owner / Advisor</t>
        </is>
      </c>
      <c r="D45" s="8" t="inlineStr">
        <is>
          <t>4174962</t>
        </is>
      </c>
      <c r="E45" s="8" t="inlineStr">
        <is>
          <t>Kestra Investment Services</t>
        </is>
      </c>
      <c r="F45" s="9" t="inlineStr">
        <is>
          <t>NFS / Fidelity (unconfirmed)</t>
        </is>
      </c>
      <c r="G45" s="8" t="inlineStr">
        <is>
          <t>Crowley</t>
        </is>
      </c>
      <c r="H45" s="8" t="inlineStr">
        <is>
          <t>337-250-xxxx</t>
        </is>
      </c>
      <c r="I45" s="8" t="inlineStr"/>
      <c r="J45" s="8" t="inlineStr">
        <is>
          <t>High</t>
        </is>
      </c>
    </row>
    <row r="46">
      <c r="A46" s="8" t="inlineStr">
        <is>
          <t>First Natl Bank of LA (Crowley)</t>
        </is>
      </c>
      <c r="B46" s="8" t="inlineStr">
        <is>
          <t>Michael Fontenot</t>
        </is>
      </c>
      <c r="C46" s="9" t="inlineStr">
        <is>
          <t>Advisor (unconfirmed)</t>
        </is>
      </c>
      <c r="D46" s="8" t="inlineStr"/>
      <c r="E46" s="8" t="inlineStr"/>
      <c r="F46" s="9" t="inlineStr"/>
      <c r="G46" s="8" t="inlineStr">
        <is>
          <t>Crowley</t>
        </is>
      </c>
      <c r="H46" s="8" t="inlineStr"/>
      <c r="I46" s="8" t="inlineStr"/>
      <c r="J46" s="8" t="inlineStr">
        <is>
          <t>Low</t>
        </is>
      </c>
    </row>
    <row r="47">
      <c r="A47" s="8" t="inlineStr">
        <is>
          <t>JD Bank</t>
        </is>
      </c>
      <c r="B47" s="8" t="inlineStr">
        <is>
          <t>Mary Alice LeBlanc</t>
        </is>
      </c>
      <c r="C47" s="9" t="inlineStr">
        <is>
          <t>VP &amp; Senior Trust Officer</t>
        </is>
      </c>
      <c r="D47" s="8" t="inlineStr"/>
      <c r="E47" s="8" t="inlineStr">
        <is>
          <t>In-house trust</t>
        </is>
      </c>
      <c r="F47" s="9" t="inlineStr">
        <is>
          <t>Bank fiduciary</t>
        </is>
      </c>
      <c r="G47" s="8" t="inlineStr">
        <is>
          <t>Jennings</t>
        </is>
      </c>
      <c r="H47" s="8" t="inlineStr">
        <is>
          <t>337-246-5370</t>
        </is>
      </c>
      <c r="I47" s="8" t="inlineStr"/>
      <c r="J47" s="8" t="inlineStr">
        <is>
          <t>Moderate</t>
        </is>
      </c>
    </row>
    <row r="48">
      <c r="A48" s="8" t="inlineStr">
        <is>
          <t>JD Bank</t>
        </is>
      </c>
      <c r="B48" s="8" t="inlineStr">
        <is>
          <t>Phillip Jennings</t>
        </is>
      </c>
      <c r="C48" s="9" t="inlineStr">
        <is>
          <t>EVP, Senior Trust Officer</t>
        </is>
      </c>
      <c r="D48" s="8" t="inlineStr"/>
      <c r="E48" s="8" t="inlineStr">
        <is>
          <t>In-house trust</t>
        </is>
      </c>
      <c r="F48" s="9" t="inlineStr">
        <is>
          <t>Bank fiduciary</t>
        </is>
      </c>
      <c r="G48" s="8" t="inlineStr">
        <is>
          <t>Jennings</t>
        </is>
      </c>
      <c r="H48" s="8" t="inlineStr">
        <is>
          <t>337-246-5370</t>
        </is>
      </c>
      <c r="I48" s="8" t="inlineStr"/>
      <c r="J48" s="8" t="inlineStr">
        <is>
          <t>Low</t>
        </is>
      </c>
    </row>
    <row r="49">
      <c r="A49" s="8" t="inlineStr">
        <is>
          <t>Merrill</t>
        </is>
      </c>
      <c r="B49" s="8" t="inlineStr">
        <is>
          <t>Sara Mayeux</t>
        </is>
      </c>
      <c r="C49" s="9" t="inlineStr">
        <is>
          <t>Market Executive, LA &amp; MS</t>
        </is>
      </c>
      <c r="D49" s="8" t="inlineStr"/>
      <c r="E49" s="8" t="inlineStr">
        <is>
          <t>Merrill Lynch PF&amp;S</t>
        </is>
      </c>
      <c r="F49" s="9" t="inlineStr">
        <is>
          <t>Self-clearing (BofA/Merrill)</t>
        </is>
      </c>
      <c r="G49" s="8" t="inlineStr">
        <is>
          <t>New Orleans</t>
        </is>
      </c>
      <c r="H49" s="8" t="inlineStr"/>
      <c r="I49" s="8" t="inlineStr"/>
      <c r="J49" s="8" t="inlineStr">
        <is>
          <t>High</t>
        </is>
      </c>
    </row>
    <row r="50">
      <c r="A50" s="8" t="inlineStr">
        <is>
          <t>Merrill</t>
        </is>
      </c>
      <c r="B50" s="8" t="inlineStr">
        <is>
          <t>Stephanie Evans</t>
        </is>
      </c>
      <c r="C50" s="9" t="inlineStr">
        <is>
          <t>VP, Market Client Rel. Mgr</t>
        </is>
      </c>
      <c r="D50" s="8" t="inlineStr"/>
      <c r="E50" s="8" t="inlineStr">
        <is>
          <t>Merrill Lynch PF&amp;S</t>
        </is>
      </c>
      <c r="F50" s="9" t="inlineStr">
        <is>
          <t>Self-clearing (BofA/Merrill)</t>
        </is>
      </c>
      <c r="G50" s="8" t="inlineStr">
        <is>
          <t>Baton Rouge</t>
        </is>
      </c>
      <c r="H50" s="8" t="inlineStr"/>
      <c r="I50" s="8" t="inlineStr"/>
      <c r="J50" s="8" t="inlineStr">
        <is>
          <t>High</t>
        </is>
      </c>
    </row>
    <row r="51">
      <c r="A51" s="8" t="inlineStr">
        <is>
          <t>Merrill</t>
        </is>
      </c>
      <c r="B51" s="8" t="inlineStr">
        <is>
          <t>Jonathan Matessino</t>
        </is>
      </c>
      <c r="C51" s="9" t="inlineStr">
        <is>
          <t>President, NOLA &amp; Baton Rouge (BofA)</t>
        </is>
      </c>
      <c r="D51" s="8" t="inlineStr"/>
      <c r="E51" s="8" t="inlineStr"/>
      <c r="F51" s="9" t="inlineStr"/>
      <c r="G51" s="8" t="inlineStr">
        <is>
          <t>New Orleans</t>
        </is>
      </c>
      <c r="H51" s="8" t="inlineStr"/>
      <c r="I51" s="8" t="inlineStr"/>
      <c r="J51" s="8" t="inlineStr">
        <is>
          <t>High</t>
        </is>
      </c>
    </row>
    <row r="52">
      <c r="A52" s="8" t="inlineStr">
        <is>
          <t>Merrill</t>
        </is>
      </c>
      <c r="B52" s="8" t="inlineStr">
        <is>
          <t>Donald Newton</t>
        </is>
      </c>
      <c r="C52" s="9" t="inlineStr">
        <is>
          <t>Financial Advisor</t>
        </is>
      </c>
      <c r="D52" s="8" t="inlineStr"/>
      <c r="E52" s="8" t="inlineStr">
        <is>
          <t>Merrill Lynch PF&amp;S</t>
        </is>
      </c>
      <c r="F52" s="9" t="inlineStr">
        <is>
          <t>Self-clearing (BofA/Merrill)</t>
        </is>
      </c>
      <c r="G52" s="8" t="inlineStr">
        <is>
          <t>Baton Rouge</t>
        </is>
      </c>
      <c r="H52" s="8" t="inlineStr"/>
      <c r="I52" s="8" t="inlineStr"/>
      <c r="J52" s="8" t="inlineStr">
        <is>
          <t>High</t>
        </is>
      </c>
    </row>
    <row r="53">
      <c r="A53" s="8" t="inlineStr">
        <is>
          <t>Merrill</t>
        </is>
      </c>
      <c r="B53" s="8" t="inlineStr">
        <is>
          <t>McClendon Wealth Management</t>
        </is>
      </c>
      <c r="C53" s="9" t="inlineStr">
        <is>
          <t>Advisory team</t>
        </is>
      </c>
      <c r="D53" s="8" t="inlineStr"/>
      <c r="E53" s="8" t="inlineStr">
        <is>
          <t>Merrill Lynch PF&amp;S</t>
        </is>
      </c>
      <c r="F53" s="9" t="inlineStr">
        <is>
          <t>Self-clearing (BofA/Merrill)</t>
        </is>
      </c>
      <c r="G53" s="8" t="inlineStr">
        <is>
          <t>Baton Rouge</t>
        </is>
      </c>
      <c r="H53" s="8" t="inlineStr"/>
      <c r="I53" s="8" t="inlineStr"/>
      <c r="J53" s="8" t="inlineStr">
        <is>
          <t>High</t>
        </is>
      </c>
    </row>
    <row r="54">
      <c r="A54" s="8" t="inlineStr">
        <is>
          <t>Merrill</t>
        </is>
      </c>
      <c r="B54" s="8" t="inlineStr">
        <is>
          <t>Piland Ellis Rothrock Bevinetto</t>
        </is>
      </c>
      <c r="C54" s="9" t="inlineStr">
        <is>
          <t>Advisory team</t>
        </is>
      </c>
      <c r="D54" s="8" t="inlineStr"/>
      <c r="E54" s="8" t="inlineStr">
        <is>
          <t>Merrill Lynch PF&amp;S</t>
        </is>
      </c>
      <c r="F54" s="9" t="inlineStr">
        <is>
          <t>Self-clearing (BofA/Merrill)</t>
        </is>
      </c>
      <c r="G54" s="8" t="inlineStr">
        <is>
          <t>Baton Rouge</t>
        </is>
      </c>
      <c r="H54" s="8" t="inlineStr"/>
      <c r="I54" s="8" t="inlineStr"/>
      <c r="J54" s="8" t="inlineStr">
        <is>
          <t>High</t>
        </is>
      </c>
    </row>
    <row r="55">
      <c r="A55" s="8" t="inlineStr">
        <is>
          <t>Merrill</t>
        </is>
      </c>
      <c r="B55" s="8" t="inlineStr">
        <is>
          <t>Salvadore "Sal" Miletello</t>
        </is>
      </c>
      <c r="C55" s="9" t="inlineStr">
        <is>
          <t>FA, SSM Financial Group</t>
        </is>
      </c>
      <c r="D55" s="8" t="inlineStr"/>
      <c r="E55" s="8" t="inlineStr">
        <is>
          <t>Merrill Lynch PF&amp;S</t>
        </is>
      </c>
      <c r="F55" s="9" t="inlineStr">
        <is>
          <t>Self-clearing (BofA/Merrill)</t>
        </is>
      </c>
      <c r="G55" s="8" t="inlineStr">
        <is>
          <t>Shreveport</t>
        </is>
      </c>
      <c r="H55" s="8" t="inlineStr"/>
      <c r="I55" s="8" t="inlineStr"/>
      <c r="J55" s="8" t="inlineStr">
        <is>
          <t>High</t>
        </is>
      </c>
    </row>
    <row r="56">
      <c r="A56" s="8" t="inlineStr">
        <is>
          <t>Wells Fargo Advisors</t>
        </is>
      </c>
      <c r="B56" s="8" t="inlineStr">
        <is>
          <t>Tony Boagni</t>
        </is>
      </c>
      <c r="C56" s="9" t="inlineStr">
        <is>
          <t>SVP, Investment Officer, PIM PM</t>
        </is>
      </c>
      <c r="D56" s="8" t="inlineStr"/>
      <c r="E56" s="8" t="inlineStr">
        <is>
          <t>Wells Fargo Clearing Svcs</t>
        </is>
      </c>
      <c r="F56" s="9" t="inlineStr">
        <is>
          <t>Self-clearing (First Clearing)</t>
        </is>
      </c>
      <c r="G56" s="8" t="inlineStr">
        <is>
          <t>Baton Rouge</t>
        </is>
      </c>
      <c r="H56" s="8" t="inlineStr">
        <is>
          <t>225-928-2900</t>
        </is>
      </c>
      <c r="I56" s="8" t="inlineStr">
        <is>
          <t>tony.boagni@wellsfargoadvisors.com</t>
        </is>
      </c>
      <c r="J56" s="8" t="inlineStr">
        <is>
          <t>High</t>
        </is>
      </c>
    </row>
    <row r="57">
      <c r="A57" s="8" t="inlineStr">
        <is>
          <t>Wells Fargo Advisors</t>
        </is>
      </c>
      <c r="B57" s="8" t="inlineStr">
        <is>
          <t>Longbridge Wealth Management</t>
        </is>
      </c>
      <c r="C57" s="9" t="inlineStr">
        <is>
          <t>Advisory team (FiNet)</t>
        </is>
      </c>
      <c r="D57" s="8" t="inlineStr"/>
      <c r="E57" s="8" t="inlineStr">
        <is>
          <t>WFAFN</t>
        </is>
      </c>
      <c r="F57" s="9" t="inlineStr">
        <is>
          <t>Self-clearing (First Clearing)</t>
        </is>
      </c>
      <c r="G57" s="8" t="inlineStr">
        <is>
          <t>Baton Rouge</t>
        </is>
      </c>
      <c r="H57" s="8" t="inlineStr"/>
      <c r="I57" s="8" t="inlineStr"/>
      <c r="J57" s="8" t="inlineStr">
        <is>
          <t>High</t>
        </is>
      </c>
    </row>
    <row r="58">
      <c r="A58" s="8" t="inlineStr">
        <is>
          <t>J.P. Morgan</t>
        </is>
      </c>
      <c r="B58" s="8" t="inlineStr">
        <is>
          <t>Katie LeGardeur</t>
        </is>
      </c>
      <c r="C58" s="9" t="inlineStr">
        <is>
          <t>MD, Head of Private Banking, LA</t>
        </is>
      </c>
      <c r="D58" s="8" t="inlineStr"/>
      <c r="E58" s="8" t="inlineStr">
        <is>
          <t>J.P. Morgan Securities</t>
        </is>
      </c>
      <c r="F58" s="9" t="inlineStr">
        <is>
          <t>Self-clearing</t>
        </is>
      </c>
      <c r="G58" s="8" t="inlineStr">
        <is>
          <t>New Orleans</t>
        </is>
      </c>
      <c r="H58" s="8" t="inlineStr"/>
      <c r="I58" s="8" t="inlineStr"/>
      <c r="J58" s="8" t="inlineStr">
        <is>
          <t>High</t>
        </is>
      </c>
    </row>
    <row r="59">
      <c r="A59" s="8" t="inlineStr">
        <is>
          <t>J.P. Morgan</t>
        </is>
      </c>
      <c r="B59" s="8" t="inlineStr">
        <is>
          <t>Steven Morgan</t>
        </is>
      </c>
      <c r="C59" s="9" t="inlineStr">
        <is>
          <t>ED, Market Team Lead</t>
        </is>
      </c>
      <c r="D59" s="8" t="inlineStr"/>
      <c r="E59" s="8" t="inlineStr">
        <is>
          <t>J.P. Morgan Securities</t>
        </is>
      </c>
      <c r="F59" s="9" t="inlineStr">
        <is>
          <t>Self-clearing</t>
        </is>
      </c>
      <c r="G59" s="8" t="inlineStr">
        <is>
          <t>Baton Rouge</t>
        </is>
      </c>
      <c r="H59" s="8" t="inlineStr"/>
      <c r="I59" s="8" t="inlineStr"/>
      <c r="J59" s="8" t="inlineStr">
        <is>
          <t>High</t>
        </is>
      </c>
    </row>
    <row r="61">
      <c r="A61" s="5" t="inlineStr">
        <is>
          <t>Total named people:</t>
        </is>
      </c>
      <c r="D61" s="5">
        <f>COUNTA(B5:B59)</f>
        <v/>
      </c>
    </row>
    <row r="62">
      <c r="A62" s="5" t="inlineStr">
        <is>
          <t>With a CRD captured:</t>
        </is>
      </c>
      <c r="D62" s="5">
        <f>COUNTIF(D5:D59,"&lt;&gt;")</f>
        <v/>
      </c>
    </row>
    <row r="63">
      <c r="A63" s="5" t="inlineStr">
        <is>
          <t>High confidence rows:</t>
        </is>
      </c>
      <c r="D63" s="5">
        <f>COUNTIF(J5:J59,"High")</f>
        <v/>
      </c>
    </row>
  </sheetData>
  <autoFilter ref="A4:J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60" customWidth="1" min="3" max="3"/>
    <col width="14" customWidth="1" min="4" max="4"/>
    <col width="72" customWidth="1" min="5" max="5"/>
  </cols>
  <sheetData>
    <row r="1">
      <c r="A1" s="6" t="inlineStr">
        <is>
          <t>Broker-Dealer vs Clearing Firm — reference</t>
        </is>
      </c>
    </row>
    <row r="2" ht="42" customHeight="1">
      <c r="A2" s="10" t="inlineStr">
        <is>
          <t>These are two different things and the distinction matters. The BROKER-DEALER is who the advisor is registered with and whose approved product list governs what they can buy. The CLEARING FIRM holds and settles the trades. LPL, Cetera, Raymond James and Ameriprise are broker-dealers, not clearing firms. Some of them self-clear; others hand clearing to Pershing or NFS.</t>
        </is>
      </c>
    </row>
    <row r="4">
      <c r="A4" s="7" t="inlineStr">
        <is>
          <t>Broker-Dealer</t>
        </is>
      </c>
      <c r="B4" s="7" t="inlineStr">
        <is>
          <t>Firm CRD</t>
        </is>
      </c>
      <c r="C4" s="7" t="inlineStr">
        <is>
          <t>Clearing &amp; Custody</t>
        </is>
      </c>
      <c r="D4" s="7" t="inlineStr">
        <is>
          <t>Confidence</t>
        </is>
      </c>
      <c r="E4" s="7" t="inlineStr">
        <is>
          <t>Louisiana bank programs on this platform</t>
        </is>
      </c>
    </row>
    <row r="5" ht="46" customHeight="1">
      <c r="A5" s="9" t="inlineStr">
        <is>
          <t>LPL Financial LLC</t>
        </is>
      </c>
      <c r="B5" s="9" t="inlineStr">
        <is>
          <t>6413</t>
        </is>
      </c>
      <c r="C5" s="9" t="inlineStr">
        <is>
          <t>Self-clearing. LPL clears and custodies its own business.</t>
        </is>
      </c>
      <c r="D5" s="9" t="inlineStr">
        <is>
          <t>Confirmed</t>
        </is>
      </c>
      <c r="E5" s="9" t="inlineStr">
        <is>
          <t>Red River Bank, Home Bank (HB Financial), First Federal Bank of LA, Synergy Bank, BankPlus, First Horizon, Gulf Coast Bank (Abbeville). Possibly Patterson State Bank.</t>
        </is>
      </c>
    </row>
    <row r="6" ht="46" customHeight="1">
      <c r="A6" s="9" t="inlineStr">
        <is>
          <t>Cetera Investment Services LLC</t>
        </is>
      </c>
      <c r="B6" s="9" t="inlineStr">
        <is>
          <t>15340</t>
        </is>
      </c>
      <c r="C6" s="9" t="inlineStr">
        <is>
          <t>Advisor's choice of three: BNY Pershing, NFS (Fidelity), or Cetera's own self-clearing broker-dealer. Cetera added NFS for all advisors recently.</t>
        </is>
      </c>
      <c r="D6" s="9" t="inlineStr">
        <is>
          <t>Confirmed</t>
        </is>
      </c>
      <c r="E6" s="9" t="inlineStr">
        <is>
          <t>Hancock Whitney (branch program), Regions Bank, Bank of St. Francisville + Peoples Bank of Pointe Coupee (Malara team).</t>
        </is>
      </c>
    </row>
    <row r="7" ht="46" customHeight="1">
      <c r="A7" s="9" t="inlineStr">
        <is>
          <t>Raymond James Financial Services, Inc.</t>
        </is>
      </c>
      <c r="B7" s="9" t="inlineStr">
        <is>
          <t>6694</t>
        </is>
      </c>
      <c r="C7" s="9" t="inlineStr">
        <is>
          <t>Self-clearing through Raymond James &amp; Associates.</t>
        </is>
      </c>
      <c r="D7" s="9" t="inlineStr">
        <is>
          <t>Confirmed</t>
        </is>
      </c>
      <c r="E7" s="9" t="inlineStr">
        <is>
          <t>b1BANK (b1 Wealth Solutions Group), Woodforest Wealth, Trustmark. Citizens National Bossier is DISPUTED, see its tab.</t>
        </is>
      </c>
    </row>
    <row r="8" ht="46" customHeight="1">
      <c r="A8" s="9" t="inlineStr">
        <is>
          <t>Ameriprise Financial Services LLC</t>
        </is>
      </c>
      <c r="B8" s="9" t="inlineStr">
        <is>
          <t>6363</t>
        </is>
      </c>
      <c r="C8" s="9" t="inlineStr">
        <is>
          <t>Self-clearing through American Enterprise Investment Services (AEIS).</t>
        </is>
      </c>
      <c r="D8" s="9" t="inlineStr">
        <is>
          <t>Confirmed self-clearing</t>
        </is>
      </c>
      <c r="E8" s="9" t="inlineStr">
        <is>
          <t>Community Bank of Louisiana (Community Wealth Services), via Ameriprise Financial Institutions Group.</t>
        </is>
      </c>
    </row>
    <row r="9" ht="46" customHeight="1">
      <c r="A9" s="9" t="inlineStr">
        <is>
          <t>Arkadios Capital</t>
        </is>
      </c>
      <c r="B9" s="9" t="inlineStr">
        <is>
          <t>282710</t>
        </is>
      </c>
      <c r="C9" s="9" t="inlineStr">
        <is>
          <t>NOT CONFIRMED. Arkadios' clearing relationship did not surface in any source available here. Ask directly.</t>
        </is>
      </c>
      <c r="D9" s="9" t="inlineStr">
        <is>
          <t>Unknown</t>
        </is>
      </c>
      <c r="E9" s="9" t="inlineStr">
        <is>
          <t>Gulf Coast Bank &amp; Trust (Gulf Coast Wealth Management), which moved from LPL in July 2024 with ~$850MM.</t>
        </is>
      </c>
    </row>
    <row r="10" ht="46" customHeight="1">
      <c r="A10" s="9" t="inlineStr">
        <is>
          <t>Kestra Investment Services</t>
        </is>
      </c>
      <c r="B10" s="9" t="inlineStr"/>
      <c r="C10" s="9" t="inlineStr">
        <is>
          <t>NFS / Fidelity believed, but NOT confirmed from any source here.</t>
        </is>
      </c>
      <c r="D10" s="9" t="inlineStr">
        <is>
          <t>Unconfirmed</t>
        </is>
      </c>
      <c r="E10" s="9" t="inlineStr">
        <is>
          <t>First Investment Services at First National Bank of Louisiana, Crowley (Jeremy Patin's own firm).</t>
        </is>
      </c>
    </row>
    <row r="11" ht="46" customHeight="1">
      <c r="A11" s="9" t="inlineStr">
        <is>
          <t>Hancock Whitney Investment Services Inc.</t>
        </is>
      </c>
      <c r="B11" s="9" t="inlineStr">
        <is>
          <t>40637</t>
        </is>
      </c>
      <c r="C11" s="9" t="inlineStr">
        <is>
          <t>In-house broker-dealer and SEC-registered adviser owned by the bank, formed 1995. Clearing arrangement not surfaced.</t>
        </is>
      </c>
      <c r="D11" s="9" t="inlineStr">
        <is>
          <t>Partial</t>
        </is>
      </c>
      <c r="E11" s="9" t="inlineStr">
        <is>
          <t>Hancock Whitney's HNW and institutional discretionary business, separate from the Cetera branch program.</t>
        </is>
      </c>
    </row>
    <row r="12" ht="46" customHeight="1">
      <c r="A12" s="9" t="inlineStr">
        <is>
          <t>Merrill Lynch, Pierce, Fenner &amp; Smith</t>
        </is>
      </c>
      <c r="B12" s="9" t="inlineStr">
        <is>
          <t>7691</t>
        </is>
      </c>
      <c r="C12" s="9" t="inlineStr">
        <is>
          <t>Self-clearing (BofA Securities / Merrill).</t>
        </is>
      </c>
      <c r="D12" s="9" t="inlineStr">
        <is>
          <t>Confirmed</t>
        </is>
      </c>
      <c r="E12" s="9" t="inlineStr">
        <is>
          <t>Merrill offices in New Orleans, Baton Rouge (two), Shreveport.</t>
        </is>
      </c>
    </row>
    <row r="13" ht="46" customHeight="1">
      <c r="A13" s="9" t="inlineStr">
        <is>
          <t>Wells Fargo Clearing Services LLC</t>
        </is>
      </c>
      <c r="B13" s="9" t="inlineStr">
        <is>
          <t>19616</t>
        </is>
      </c>
      <c r="C13" s="9" t="inlineStr">
        <is>
          <t>Self-clearing. Trades as First Clearing. Wells Fargo Advisors Financial Network (FiNet) is the independent channel on the same clearing.</t>
        </is>
      </c>
      <c r="D13" s="9" t="inlineStr">
        <is>
          <t>Confirmed</t>
        </is>
      </c>
      <c r="E13" s="9" t="inlineStr">
        <is>
          <t>Wells Fargo Advisors Baton Rouge, New Orleans, Shreveport. Longbridge Wealth Management is FiNet.</t>
        </is>
      </c>
    </row>
    <row r="14" ht="46" customHeight="1">
      <c r="A14" s="9" t="inlineStr">
        <is>
          <t>J.P. Morgan Securities LLC</t>
        </is>
      </c>
      <c r="B14" s="9" t="inlineStr">
        <is>
          <t>79</t>
        </is>
      </c>
      <c r="C14" s="9" t="inlineStr">
        <is>
          <t>Self-clearing.</t>
        </is>
      </c>
      <c r="D14" s="9" t="inlineStr">
        <is>
          <t>Confirmed</t>
        </is>
      </c>
      <c r="E14" s="9" t="inlineStr">
        <is>
          <t>J.P. Morgan Private Bank New Orleans and Baton Rouge; J.P. Morgan Wealth Management in Chase branches.</t>
        </is>
      </c>
    </row>
    <row r="15" ht="46" customHeight="1">
      <c r="A15" s="9" t="inlineStr">
        <is>
          <t>Stratos Wealth Partners</t>
        </is>
      </c>
      <c r="B15" s="9" t="inlineStr"/>
      <c r="C15" s="9" t="inlineStr">
        <is>
          <t>LPL-affiliated hybrid RIA nationally. Not confirmed for the New Orleans office.</t>
        </is>
      </c>
      <c r="D15" s="9" t="inlineStr">
        <is>
          <t>Unconfirmed</t>
        </is>
      </c>
      <c r="E15" s="9" t="inlineStr">
        <is>
          <t>Fidelity Bank (New Orleans) partners with Stratos rather than employing advisors.</t>
        </is>
      </c>
    </row>
    <row r="16" ht="46" customHeight="1">
      <c r="A16" s="9" t="inlineStr">
        <is>
          <t>In-house bank trust department</t>
        </is>
      </c>
      <c r="B16" s="9" t="inlineStr">
        <is>
          <t>n/a</t>
        </is>
      </c>
      <c r="C16" s="9" t="inlineStr">
        <is>
          <t>No external clearing. The bank acts as fiduciary and holds assets under its own trust powers. Some banks outsource the fiduciary role to Argent Trust of Ruston instead of running their own.</t>
        </is>
      </c>
      <c r="D16" s="9" t="inlineStr">
        <is>
          <t>n/a</t>
        </is>
      </c>
      <c r="E16" s="9" t="inlineStr">
        <is>
          <t>Hancock Whitney, Gulf Coast Bank &amp; Trust, JD Bank, Washington State Bank, First American Bank and Trust, Renasant, Huntington (legacy Cadence).</t>
        </is>
      </c>
    </row>
    <row r="18" ht="30" customHeight="1">
      <c r="A18" s="11" t="inlineStr">
        <is>
          <t>Firm CRD numbers for Ameriprise, Merrill, Wells Fargo Clearing and J.P. Morgan Securities are the well-known public firm numbers and were not re-verified against FINRA in this pass, because BrokerCheck was unreachable. Confirm before quoting them.</t>
        </is>
      </c>
    </row>
  </sheetData>
  <mergeCells count="2">
    <mergeCell ref="A2:E2"/>
    <mergeCell ref="A18:E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Red River Bank — Red River Investments Group</t>
        </is>
      </c>
    </row>
    <row r="2">
      <c r="A2" s="2" t="inlineStr">
        <is>
          <t>LPL Financial program. HQ Alexandria; offices in Central LA, Shreveport, Baton Rouge, Lafayette, Lake Charles, New Orleans, Northshore.</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Cohen LaCour, CFP</t>
        </is>
      </c>
      <c r="B5" s="8" t="inlineStr">
        <is>
          <t>Cohen Michael Paul LaCour</t>
        </is>
      </c>
      <c r="C5" s="8" t="inlineStr">
        <is>
          <t>Investment Executive</t>
        </is>
      </c>
      <c r="D5" s="8" t="inlineStr">
        <is>
          <t>7255615</t>
        </is>
      </c>
      <c r="E5" s="8" t="inlineStr">
        <is>
          <t>LPL Financial LLC (CRD 6413)</t>
        </is>
      </c>
      <c r="F5" s="8" t="inlineStr">
        <is>
          <t>LPL Financial (IAR)</t>
        </is>
      </c>
      <c r="G5" s="8" t="inlineStr">
        <is>
          <t>Self-clearing (LPL Financial). Confirmed.</t>
        </is>
      </c>
      <c r="H5" s="9" t="inlineStr">
        <is>
          <t>Red River Bank offices</t>
        </is>
      </c>
      <c r="I5" s="8" t="inlineStr">
        <is>
          <t>Alexandria / statewide</t>
        </is>
      </c>
      <c r="J5" s="8" t="inlineStr"/>
      <c r="K5" s="8" t="inlineStr">
        <is>
          <t>cohen.lacour@redriverinvest.net</t>
        </is>
      </c>
      <c r="L5" s="9" t="inlineStr">
        <is>
          <t>CFP (Dec 2024)</t>
        </is>
      </c>
      <c r="M5" s="8" t="inlineStr"/>
      <c r="N5" s="9" t="inlineStr">
        <is>
          <t>BrokerCheck record shows Red River Investments Group and Red River Bank as DBAs of his LPL business.</t>
        </is>
      </c>
      <c r="O5" s="8" t="inlineStr">
        <is>
          <t>High</t>
        </is>
      </c>
    </row>
    <row r="6">
      <c r="A6" s="8" t="inlineStr">
        <is>
          <t>James Farrish</t>
        </is>
      </c>
      <c r="B6" s="8" t="inlineStr">
        <is>
          <t>James Farrish</t>
        </is>
      </c>
      <c r="C6" s="8" t="inlineStr">
        <is>
          <t>Investment Executive</t>
        </is>
      </c>
      <c r="D6" s="8" t="inlineStr">
        <is>
          <t>6944233</t>
        </is>
      </c>
      <c r="E6" s="8" t="inlineStr">
        <is>
          <t>LPL Financial LLC (CRD 6413)</t>
        </is>
      </c>
      <c r="F6" s="8" t="inlineStr">
        <is>
          <t>LPL Financial (IAR)</t>
        </is>
      </c>
      <c r="G6" s="8" t="inlineStr">
        <is>
          <t>Self-clearing (LPL Financial). Confirmed.</t>
        </is>
      </c>
      <c r="H6" s="9" t="inlineStr">
        <is>
          <t>Red River Bank, Baton Rouge</t>
        </is>
      </c>
      <c r="I6" s="8" t="inlineStr">
        <is>
          <t>Baton Rouge</t>
        </is>
      </c>
      <c r="J6" s="8" t="inlineStr">
        <is>
          <t>225-928-8240</t>
        </is>
      </c>
      <c r="K6" s="8" t="inlineStr">
        <is>
          <t>james.farrish@redriverinvest.net</t>
        </is>
      </c>
      <c r="L6" s="9" t="inlineStr">
        <is>
          <t>Series 63, 65</t>
        </is>
      </c>
      <c r="M6" s="8" t="inlineStr">
        <is>
          <t>11 yrs</t>
        </is>
      </c>
      <c r="N6" s="9" t="inlineStr">
        <is>
          <t>One bank source says 7 years, a directory says 11. Treat tenure as approximate.</t>
        </is>
      </c>
      <c r="O6" s="8" t="inlineStr">
        <is>
          <t>High</t>
        </is>
      </c>
    </row>
    <row r="7">
      <c r="A7" s="8" t="inlineStr">
        <is>
          <t>Heath Wester</t>
        </is>
      </c>
      <c r="B7" s="8" t="inlineStr">
        <is>
          <t>Jeremy Heath Wester</t>
        </is>
      </c>
      <c r="C7" s="8" t="inlineStr">
        <is>
          <t>Investment Executive</t>
        </is>
      </c>
      <c r="D7" s="8" t="inlineStr">
        <is>
          <t>5644666</t>
        </is>
      </c>
      <c r="E7" s="8" t="inlineStr">
        <is>
          <t>LPL Financial LLC (CRD 6413)</t>
        </is>
      </c>
      <c r="F7" s="8" t="inlineStr">
        <is>
          <t>LPL Financial (IAR)</t>
        </is>
      </c>
      <c r="G7" s="8" t="inlineStr">
        <is>
          <t>Self-clearing (LPL Financial). Confirmed.</t>
        </is>
      </c>
      <c r="H7" s="9" t="inlineStr">
        <is>
          <t>Red River Bank</t>
        </is>
      </c>
      <c r="I7" s="8" t="inlineStr">
        <is>
          <t>Shreveport area</t>
        </is>
      </c>
      <c r="J7" s="8" t="inlineStr">
        <is>
          <t>318-561-5901</t>
        </is>
      </c>
      <c r="K7" s="8" t="inlineStr">
        <is>
          <t>heath.wester@redriverinvest.net</t>
        </is>
      </c>
      <c r="L7" s="9" t="inlineStr"/>
      <c r="M7" s="8" t="inlineStr"/>
      <c r="N7" s="9" t="inlineStr">
        <is>
          <t>Legal first name is Jeremy; goes by Heath. BS Business Admin, Northwestern State.</t>
        </is>
      </c>
      <c r="O7" s="8" t="inlineStr">
        <is>
          <t>High</t>
        </is>
      </c>
    </row>
    <row r="8">
      <c r="A8" s="8" t="inlineStr">
        <is>
          <t>Terrell Kalmbach</t>
        </is>
      </c>
      <c r="B8" s="8" t="inlineStr">
        <is>
          <t>V. Terrell Kalmbach Jr.</t>
        </is>
      </c>
      <c r="C8" s="8" t="inlineStr">
        <is>
          <t>Investment Executive</t>
        </is>
      </c>
      <c r="D8" s="8" t="inlineStr"/>
      <c r="E8" s="8" t="inlineStr">
        <is>
          <t>LPL Financial LLC (CRD 6413)</t>
        </is>
      </c>
      <c r="F8" s="8" t="inlineStr">
        <is>
          <t>LPL Financial (IAR)</t>
        </is>
      </c>
      <c r="G8" s="8" t="inlineStr">
        <is>
          <t>Self-clearing (LPL Financial). Confirmed.</t>
        </is>
      </c>
      <c r="H8" s="9" t="inlineStr">
        <is>
          <t>Red River Bank</t>
        </is>
      </c>
      <c r="I8" s="8" t="inlineStr">
        <is>
          <t>Shreveport / New Orleans</t>
        </is>
      </c>
      <c r="J8" s="8" t="inlineStr">
        <is>
          <t>318-675-2915 (also listed 504-354-5557)</t>
        </is>
      </c>
      <c r="K8" s="8" t="inlineStr">
        <is>
          <t>terrell.kalmbachjr@lpl.com  /  terrell.kalmbach@redriverinvest.net</t>
        </is>
      </c>
      <c r="L8" s="9" t="inlineStr"/>
      <c r="M8" s="8" t="inlineStr"/>
      <c r="N8" s="9" t="inlineStr">
        <is>
          <t>Two different phone numbers and two email domains surfaced. Note the direct LPL address.</t>
        </is>
      </c>
      <c r="O8" s="8" t="inlineStr">
        <is>
          <t>Moderate</t>
        </is>
      </c>
    </row>
    <row r="10">
      <c r="A10" s="5" t="inlineStr">
        <is>
          <t>Advisors listed on this tab:</t>
        </is>
      </c>
      <c r="D10" s="5">
        <f>COUNTA(A5:A8)</f>
        <v/>
      </c>
    </row>
    <row r="12" ht="28" customHeight="1">
      <c r="A12" s="11" t="inlineStr">
        <is>
          <t>Program disclosure: 'Red River Bank and Red River Investment Group are not registered as a broker-dealer or investment advisor. Registered representatives of LPL offer products and services using Red River Investment Group.'</t>
        </is>
      </c>
    </row>
  </sheetData>
  <mergeCells count="1">
    <mergeCell ref="A12:O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Home Bank — HB Financial</t>
        </is>
      </c>
    </row>
    <row r="2">
      <c r="A2" s="2" t="inlineStr">
        <is>
          <t>LPL Financial program. Acadiana office 2810 Johnston St, Lafayette LA 70503 (337-572-3674). Northshore office 1772 Orleans St, Mandeville LA 70448.</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Ben Laville</t>
        </is>
      </c>
      <c r="B5" s="8" t="inlineStr">
        <is>
          <t>Benjamin Laville (unconfirmed legal name)</t>
        </is>
      </c>
      <c r="C5" s="8" t="inlineStr">
        <is>
          <t>Vice President / Financial Advisor</t>
        </is>
      </c>
      <c r="D5" s="8" t="inlineStr"/>
      <c r="E5" s="8" t="inlineStr">
        <is>
          <t>LPL Financial LLC (CRD 6413)</t>
        </is>
      </c>
      <c r="F5" s="8" t="inlineStr">
        <is>
          <t>LPL Financial (IAR)</t>
        </is>
      </c>
      <c r="G5" s="8" t="inlineStr">
        <is>
          <t>Self-clearing (LPL Financial). Confirmed.</t>
        </is>
      </c>
      <c r="H5" s="9" t="inlineStr">
        <is>
          <t>1305 N. Causeway, Mandeville</t>
        </is>
      </c>
      <c r="I5" s="8" t="inlineStr">
        <is>
          <t>Mandeville</t>
        </is>
      </c>
      <c r="J5" s="8" t="inlineStr"/>
      <c r="K5" s="8" t="inlineStr"/>
      <c r="L5" s="9" t="inlineStr">
        <is>
          <t>Series 7, 63, 65; LA Health &amp; Life</t>
        </is>
      </c>
      <c r="M5" s="8" t="inlineStr">
        <is>
          <t>13+ yrs</t>
        </is>
      </c>
      <c r="N5" s="9" t="inlineStr">
        <is>
          <t>Previously a financial advisor at Capital One Investment Services. Also holds a LA real estate broker license and LA commercial and residential contractor licenses. CRD did not surface.</t>
        </is>
      </c>
      <c r="O5" s="8" t="inlineStr">
        <is>
          <t>Moderate</t>
        </is>
      </c>
    </row>
    <row r="6">
      <c r="A6" s="8" t="inlineStr">
        <is>
          <t>Brad (surname not found)</t>
        </is>
      </c>
      <c r="B6" s="8" t="inlineStr"/>
      <c r="C6" s="8" t="inlineStr">
        <is>
          <t>Branch Manager &amp; Portfolio Manager</t>
        </is>
      </c>
      <c r="D6" s="8" t="inlineStr"/>
      <c r="E6" s="8" t="inlineStr">
        <is>
          <t>LPL Financial LLC (CRD 6413)</t>
        </is>
      </c>
      <c r="F6" s="8" t="inlineStr">
        <is>
          <t>LPL Financial (IAR)</t>
        </is>
      </c>
      <c r="G6" s="8" t="inlineStr">
        <is>
          <t>Self-clearing (LPL Financial). Confirmed.</t>
        </is>
      </c>
      <c r="H6" s="9" t="inlineStr">
        <is>
          <t>2810 Johnston St, Lafayette</t>
        </is>
      </c>
      <c r="I6" s="8" t="inlineStr">
        <is>
          <t>Lafayette</t>
        </is>
      </c>
      <c r="J6" s="8" t="inlineStr">
        <is>
          <t>337-572-3674</t>
        </is>
      </c>
      <c r="K6" s="8" t="inlineStr"/>
      <c r="L6" s="9" t="inlineStr"/>
      <c r="M6" s="8" t="inlineStr">
        <is>
          <t>25+ yrs, joined 2018</t>
        </is>
      </c>
      <c r="N6" s="9" t="inlineStr">
        <is>
          <t>HIGHEST VALUE NAME ON THIS TAB. Runs research and trading for HB Financial's discretionary asset management portfolios, i.e. the model buyer. Surname and direct dial still missing. USL/UL Lafayette finance degree.</t>
        </is>
      </c>
      <c r="O6" s="8" t="inlineStr">
        <is>
          <t>Moderate</t>
        </is>
      </c>
    </row>
    <row r="7">
      <c r="A7" s="8" t="inlineStr">
        <is>
          <t>Emily Poupart</t>
        </is>
      </c>
      <c r="B7" s="8" t="inlineStr"/>
      <c r="C7" s="8" t="inlineStr">
        <is>
          <t>Account Advisor</t>
        </is>
      </c>
      <c r="D7" s="8" t="inlineStr"/>
      <c r="E7" s="8" t="inlineStr"/>
      <c r="F7" s="8" t="inlineStr"/>
      <c r="G7" s="8" t="inlineStr"/>
      <c r="H7" s="9" t="inlineStr">
        <is>
          <t>2810 Johnston St, Lafayette</t>
        </is>
      </c>
      <c r="I7" s="8" t="inlineStr">
        <is>
          <t>Lafayette</t>
        </is>
      </c>
      <c r="J7" s="8" t="inlineStr">
        <is>
          <t>337-572-3674</t>
        </is>
      </c>
      <c r="K7" s="8" t="inlineStr"/>
      <c r="L7" s="9" t="inlineStr"/>
      <c r="M7" s="8" t="inlineStr">
        <is>
          <t>Joined 2021, 10+ yrs</t>
        </is>
      </c>
      <c r="N7" s="9" t="inlineStr">
        <is>
          <t>Lafayette native, Associate of Business, studied finance at UL Lafayette. Client relationship management, branch training, marketing and events.</t>
        </is>
      </c>
      <c r="O7" s="8" t="inlineStr">
        <is>
          <t>Moderate</t>
        </is>
      </c>
    </row>
    <row r="8">
      <c r="A8" s="8" t="inlineStr">
        <is>
          <t>Kristie Vead</t>
        </is>
      </c>
      <c r="B8" s="8" t="inlineStr"/>
      <c r="C8" s="8" t="inlineStr">
        <is>
          <t>Financial Advisor Assistant / Sales Assistant</t>
        </is>
      </c>
      <c r="D8" s="8" t="inlineStr"/>
      <c r="E8" s="8" t="inlineStr"/>
      <c r="F8" s="8" t="inlineStr"/>
      <c r="G8" s="8" t="inlineStr"/>
      <c r="H8" s="9" t="inlineStr">
        <is>
          <t>1772 Orleans St, Mandeville</t>
        </is>
      </c>
      <c r="I8" s="8" t="inlineStr">
        <is>
          <t>Mandeville</t>
        </is>
      </c>
      <c r="J8" s="8" t="inlineStr"/>
      <c r="K8" s="8" t="inlineStr"/>
      <c r="L8" s="9" t="inlineStr"/>
      <c r="M8" s="8" t="inlineStr">
        <is>
          <t>Joined 2016</t>
        </is>
      </c>
      <c r="N8" s="9" t="inlineStr">
        <is>
          <t>Handles compliance for the Northshore area locations across FINRA, LA Insurance Commission, LPL and Home Bank.</t>
        </is>
      </c>
      <c r="O8" s="8" t="inlineStr">
        <is>
          <t>Moderate</t>
        </is>
      </c>
    </row>
    <row r="10">
      <c r="A10" s="5" t="inlineStr">
        <is>
          <t>Advisors listed on this tab:</t>
        </is>
      </c>
      <c r="D10" s="5">
        <f>COUNTA(A5:A8)</f>
        <v/>
      </c>
    </row>
    <row r="12" ht="28" customHeight="1">
      <c r="A12" s="11" t="inlineStr">
        <is>
          <t>HB Financial is a subsidiary of Home Bank providing brokerage, retirement and insurance through LPL Financial. Home Bancorp trades as HBCP on Nasdaq.</t>
        </is>
      </c>
    </row>
  </sheetData>
  <mergeCells count="1">
    <mergeCell ref="A12:O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First Federal Bank of Louisiana — First Federal Investments</t>
        </is>
      </c>
    </row>
    <row r="2">
      <c r="A2" s="2" t="inlineStr">
        <is>
          <t>LPL Financial program. Lake Charles 337-478-6464; Sulphur 337-625-3018. Bank has 16 branches across SW and Central Louisiana. Program moved from Cetera to LPL.</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Rick Eisner</t>
        </is>
      </c>
      <c r="B5" s="8" t="inlineStr">
        <is>
          <t>Richard Paul Eisner</t>
        </is>
      </c>
      <c r="C5" s="8" t="inlineStr">
        <is>
          <t>Senior Financial Advisor</t>
        </is>
      </c>
      <c r="D5" s="8" t="inlineStr">
        <is>
          <t>4217202</t>
        </is>
      </c>
      <c r="E5" s="8" t="inlineStr">
        <is>
          <t>LPL Financial LLC (CRD 6413)</t>
        </is>
      </c>
      <c r="F5" s="8" t="inlineStr">
        <is>
          <t>LPL Financial (IAR)</t>
        </is>
      </c>
      <c r="G5" s="8" t="inlineStr">
        <is>
          <t>Self-clearing (LPL Financial). Confirmed.</t>
        </is>
      </c>
      <c r="H5" s="9" t="inlineStr">
        <is>
          <t>First Federal Bank of Louisiana</t>
        </is>
      </c>
      <c r="I5" s="8" t="inlineStr">
        <is>
          <t>Lake Charles</t>
        </is>
      </c>
      <c r="J5" s="8" t="inlineStr">
        <is>
          <t>337-478-6464</t>
        </is>
      </c>
      <c r="K5" s="8" t="inlineStr"/>
      <c r="L5" s="9" t="inlineStr">
        <is>
          <t>LPL registered rep and IAR</t>
        </is>
      </c>
      <c r="M5" s="8" t="inlineStr">
        <is>
          <t>In industry since 2000</t>
        </is>
      </c>
      <c r="N5" s="9" t="inlineStr"/>
      <c r="O5" s="8" t="inlineStr">
        <is>
          <t>High</t>
        </is>
      </c>
    </row>
    <row r="6">
      <c r="A6" s="8" t="inlineStr">
        <is>
          <t>Grant Cholley</t>
        </is>
      </c>
      <c r="B6" s="8" t="inlineStr"/>
      <c r="C6" s="8" t="inlineStr">
        <is>
          <t>Financial Advisor</t>
        </is>
      </c>
      <c r="D6" s="8" t="inlineStr"/>
      <c r="E6" s="8" t="inlineStr">
        <is>
          <t>LPL Financial LLC (CRD 6413)</t>
        </is>
      </c>
      <c r="F6" s="8" t="inlineStr">
        <is>
          <t>LPL Financial (IAR)</t>
        </is>
      </c>
      <c r="G6" s="8" t="inlineStr">
        <is>
          <t>Self-clearing (LPL Financial). Confirmed.</t>
        </is>
      </c>
      <c r="H6" s="9" t="inlineStr">
        <is>
          <t>First Federal Bank of Louisiana</t>
        </is>
      </c>
      <c r="I6" s="8" t="inlineStr">
        <is>
          <t>Lake Charles / Sulphur</t>
        </is>
      </c>
      <c r="J6" s="8" t="inlineStr">
        <is>
          <t>337-478-6464</t>
        </is>
      </c>
      <c r="K6" s="8" t="inlineStr"/>
      <c r="L6" s="9" t="inlineStr">
        <is>
          <t>Series 7, 66; Life insurance</t>
        </is>
      </c>
      <c r="M6" s="8" t="inlineStr"/>
      <c r="N6" s="9" t="inlineStr">
        <is>
          <t>CRD did not surface.</t>
        </is>
      </c>
      <c r="O6" s="8" t="inlineStr">
        <is>
          <t>Moderate</t>
        </is>
      </c>
    </row>
    <row r="7">
      <c r="A7" s="8" t="inlineStr">
        <is>
          <t>Janet LeLeux</t>
        </is>
      </c>
      <c r="B7" s="8" t="inlineStr"/>
      <c r="C7" s="8" t="inlineStr">
        <is>
          <t>Financial Advisor</t>
        </is>
      </c>
      <c r="D7" s="8" t="inlineStr"/>
      <c r="E7" s="8" t="inlineStr">
        <is>
          <t>LPL Financial LLC (CRD 6413)</t>
        </is>
      </c>
      <c r="F7" s="8" t="inlineStr">
        <is>
          <t>LPL Financial (IAR)</t>
        </is>
      </c>
      <c r="G7" s="8" t="inlineStr">
        <is>
          <t>Self-clearing (LPL Financial). Confirmed.</t>
        </is>
      </c>
      <c r="H7" s="9" t="inlineStr">
        <is>
          <t>First Federal Bank of Louisiana</t>
        </is>
      </c>
      <c r="I7" s="8" t="inlineStr">
        <is>
          <t>Lake Charles / Sulphur</t>
        </is>
      </c>
      <c r="J7" s="8" t="inlineStr">
        <is>
          <t>337-625-3018</t>
        </is>
      </c>
      <c r="K7" s="8" t="inlineStr"/>
      <c r="L7" s="9" t="inlineStr"/>
      <c r="M7" s="8" t="inlineStr">
        <is>
          <t>Since 1997</t>
        </is>
      </c>
      <c r="N7" s="9" t="inlineStr">
        <is>
          <t>CRD did not surface.</t>
        </is>
      </c>
      <c r="O7" s="8" t="inlineStr">
        <is>
          <t>Moderate</t>
        </is>
      </c>
    </row>
    <row r="8">
      <c r="A8" s="8" t="inlineStr">
        <is>
          <t>Frank McNamara</t>
        </is>
      </c>
      <c r="B8" s="8" t="inlineStr"/>
      <c r="C8" s="8" t="inlineStr">
        <is>
          <t>Advisor (probable)</t>
        </is>
      </c>
      <c r="D8" s="8" t="inlineStr"/>
      <c r="E8" s="8" t="inlineStr">
        <is>
          <t>LPL Financial LLC (CRD 6413)</t>
        </is>
      </c>
      <c r="F8" s="8" t="inlineStr">
        <is>
          <t>LPL Financial (IAR)</t>
        </is>
      </c>
      <c r="G8" s="8" t="inlineStr">
        <is>
          <t>Self-clearing (LPL Financial). Confirmed.</t>
        </is>
      </c>
      <c r="H8" s="9" t="inlineStr">
        <is>
          <t>First Federal Bank of Louisiana</t>
        </is>
      </c>
      <c r="I8" s="8" t="inlineStr">
        <is>
          <t>Lake Charles / Sulphur</t>
        </is>
      </c>
      <c r="J8" s="8" t="inlineStr"/>
      <c r="K8" s="8" t="inlineStr"/>
      <c r="L8" s="9" t="inlineStr"/>
      <c r="M8" s="8" t="inlineStr"/>
      <c r="N8" s="9" t="inlineStr">
        <is>
          <t>UNCONFIRMED. Surfaced only as a team-page URL path, never in page text. The bank states it has four advisors, which fits, but verify before calling.</t>
        </is>
      </c>
      <c r="O8" s="8" t="inlineStr">
        <is>
          <t>Low</t>
        </is>
      </c>
    </row>
    <row r="10">
      <c r="A10" s="5" t="inlineStr">
        <is>
          <t>Advisors listed on this tab:</t>
        </is>
      </c>
      <c r="D10" s="5">
        <f>COUNTA(A5:A8)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Synergy Bank — Synergy Investment Services</t>
        </is>
      </c>
    </row>
    <row r="2">
      <c r="A2" s="2" t="inlineStr">
        <is>
          <t>LPL Financial full-service brokerage office located inside the bank. Houma and Thibodaux (Terrebonne and Lafourche).</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Ann Summers, CFP</t>
        </is>
      </c>
      <c r="B5" s="8" t="inlineStr"/>
      <c r="C5" s="8" t="inlineStr">
        <is>
          <t>LPL Program Manager / Financial Advisor</t>
        </is>
      </c>
      <c r="D5" s="8" t="inlineStr"/>
      <c r="E5" s="8" t="inlineStr">
        <is>
          <t>LPL Financial LLC (CRD 6413)</t>
        </is>
      </c>
      <c r="F5" s="8" t="inlineStr">
        <is>
          <t>LPL Financial (IAR)</t>
        </is>
      </c>
      <c r="G5" s="8" t="inlineStr">
        <is>
          <t>Self-clearing (LPL Financial). Confirmed.</t>
        </is>
      </c>
      <c r="H5" s="9" t="inlineStr">
        <is>
          <t>210 Synergy Center Blvd</t>
        </is>
      </c>
      <c r="I5" s="8" t="inlineStr">
        <is>
          <t>Houma, LA 70360</t>
        </is>
      </c>
      <c r="J5" s="8" t="inlineStr">
        <is>
          <t>985-851-5459</t>
        </is>
      </c>
      <c r="K5" s="8" t="inlineStr"/>
      <c r="L5" s="9" t="inlineStr">
        <is>
          <t>CFP; FINRA Series 6, 7, 24, 66</t>
        </is>
      </c>
      <c r="M5" s="8" t="inlineStr">
        <is>
          <t>40+ yrs</t>
        </is>
      </c>
      <c r="N5" s="9" t="inlineStr">
        <is>
          <t>Series 24 means she is the registered principal, so she is the single decision maker for the whole program. Career split between lending and wealth/investment management. CRD did not surface.</t>
        </is>
      </c>
      <c r="O5" s="8" t="inlineStr">
        <is>
          <t>High</t>
        </is>
      </c>
    </row>
    <row r="7">
      <c r="A7" s="5" t="inlineStr">
        <is>
          <t>Advisors listed on this tab:</t>
        </is>
      </c>
      <c r="D7" s="5">
        <f>COUNTA(A5:A5)</f>
        <v/>
      </c>
    </row>
    <row r="9" ht="28" customHeight="1">
      <c r="A9" s="11" t="inlineStr">
        <is>
          <t>Only advisor found for this program. A one-person shop with a Series 24 principal is the fastest yes/no in the state.</t>
        </is>
      </c>
    </row>
  </sheetData>
  <mergeCells count="1">
    <mergeCell ref="A9:O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BankPlus — BankPlus Wealth Advisors</t>
        </is>
      </c>
    </row>
    <row r="2">
      <c r="A2" s="2" t="inlineStr">
        <is>
          <t>BankPlus Wealth Management LLC is the bank's own SEC-registered RIA, registered in Louisiana. Brokerage and advisory through LPL Financial. Louisiana office in the legacy First Bank &amp; Trust building.</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Robert Bruner (see note)</t>
        </is>
      </c>
      <c r="B5" s="8" t="inlineStr"/>
      <c r="C5" s="8" t="inlineStr">
        <is>
          <t>Financial Advisor</t>
        </is>
      </c>
      <c r="D5" s="8" t="inlineStr"/>
      <c r="E5" s="8" t="inlineStr">
        <is>
          <t>LPL Financial LLC (CRD 6413)</t>
        </is>
      </c>
      <c r="F5" s="8" t="inlineStr">
        <is>
          <t>BankPlus Wealth Management LLC (own RIA)</t>
        </is>
      </c>
      <c r="G5" s="8" t="inlineStr">
        <is>
          <t>Self-clearing (LPL Financial). Confirmed.</t>
        </is>
      </c>
      <c r="H5" s="9" t="inlineStr">
        <is>
          <t>909 Poydras St, 17th Floor</t>
        </is>
      </c>
      <c r="I5" s="8" t="inlineStr">
        <is>
          <t>New Orleans, LA 70112</t>
        </is>
      </c>
      <c r="J5" s="8" t="inlineStr"/>
      <c r="K5" s="8" t="inlineStr"/>
      <c r="L5" s="9" t="inlineStr"/>
      <c r="M5" s="8" t="inlineStr">
        <is>
          <t>12 yrs</t>
        </is>
      </c>
      <c r="N5" s="9" t="inlineStr">
        <is>
          <t>NAME CONFLICT: an advisor directory lists 'Robert Bruner' at this address, while bankplus.net hosts a bio page for 'Sam Bruner' in New Orleans. Could be one person or two. Resolve on the call.</t>
        </is>
      </c>
      <c r="O5" s="8" t="inlineStr">
        <is>
          <t>Low</t>
        </is>
      </c>
    </row>
    <row r="7">
      <c r="A7" s="5" t="inlineStr">
        <is>
          <t>Advisors listed on this tab:</t>
        </is>
      </c>
      <c r="D7" s="5">
        <f>COUNTA(A5:A5)</f>
        <v/>
      </c>
    </row>
    <row r="9" ht="28" customHeight="1">
      <c r="A9" s="11" t="inlineStr">
        <is>
          <t>Sub-brands: BankPlus Wealth Advisors, BankPlus Digital Advisor, and WealthPlus for high net worth. BankPlus absorbed First Bank &amp; Trust of New Orleans on 2022-03-01, along with its FBT Investments business.</t>
        </is>
      </c>
    </row>
  </sheetData>
  <mergeCells count="1">
    <mergeCell ref="A9:O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First Horizon Bank — First Horizon Advisors</t>
        </is>
      </c>
    </row>
    <row r="2">
      <c r="A2" s="2" t="inlineStr">
        <is>
          <t>Legacy IBERIABANK footprint. Advisor brand is First Horizon Advisors, securities and advisory through LPL Financial. In-house trust and wealth management runs on SEI Trust 3000.</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Ben Webre</t>
        </is>
      </c>
      <c r="B5" s="8" t="inlineStr">
        <is>
          <t>Thomas Benton Webre</t>
        </is>
      </c>
      <c r="C5" s="8" t="inlineStr">
        <is>
          <t>Senior Vice President, Financial Advisor</t>
        </is>
      </c>
      <c r="D5" s="8" t="inlineStr">
        <is>
          <t>4372830</t>
        </is>
      </c>
      <c r="E5" s="8" t="inlineStr">
        <is>
          <t>LPL Financial LLC (CRD 6413)</t>
        </is>
      </c>
      <c r="F5" s="8" t="inlineStr">
        <is>
          <t>LPL Financial (IAR)</t>
        </is>
      </c>
      <c r="G5" s="8" t="inlineStr">
        <is>
          <t>Self-clearing (LPL Financial). Confirmed.</t>
        </is>
      </c>
      <c r="H5" s="9" t="inlineStr">
        <is>
          <t>2200 W. Pinhook Rd</t>
        </is>
      </c>
      <c r="I5" s="8" t="inlineStr">
        <is>
          <t>Lafayette, LA 70508</t>
        </is>
      </c>
      <c r="J5" s="8" t="inlineStr">
        <is>
          <t>337-521-4634</t>
        </is>
      </c>
      <c r="K5" s="8" t="inlineStr">
        <is>
          <t>ben.webre@firsthorizon.com</t>
        </is>
      </c>
      <c r="L5" s="9" t="inlineStr">
        <is>
          <t>Series 7, 66; Life &amp; Health</t>
        </is>
      </c>
      <c r="M5" s="8" t="inlineStr">
        <is>
          <t>In industry since 2001</t>
        </is>
      </c>
      <c r="N5" s="9" t="inlineStr">
        <is>
          <t>Nicholls State University, BS. Most complete contact record in the whole workbook.</t>
        </is>
      </c>
      <c r="O5" s="8" t="inlineStr">
        <is>
          <t>High</t>
        </is>
      </c>
    </row>
    <row r="7">
      <c r="A7" s="5" t="inlineStr">
        <is>
          <t>Advisors listed on this tab:</t>
        </is>
      </c>
      <c r="D7" s="5">
        <f>COUNTA(A5:A5)</f>
        <v/>
      </c>
    </row>
    <row r="9" ht="28" customHeight="1">
      <c r="A9" s="11" t="inlineStr">
        <is>
          <t>A New Orleans office exists at 601 Poydras St, Suite 2075, but no advisor names surfaced for it.</t>
        </is>
      </c>
    </row>
  </sheetData>
  <mergeCells count="1">
    <mergeCell ref="A9:O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Gulf Coast Bank (Abbeville) — LPL Financial at Gulf Coast Bank</t>
        </is>
      </c>
    </row>
    <row r="2">
      <c r="A2" s="2" t="inlineStr">
        <is>
          <t>NOT the same company as Gulf Coast Bank &amp; Trust of New Orleans. 9 Acadiana locations; investment office in Lafayette.</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Jennifer (surname not found)</t>
        </is>
      </c>
      <c r="B5" s="8" t="inlineStr"/>
      <c r="C5" s="8" t="inlineStr">
        <is>
          <t>Investment / advisory staff</t>
        </is>
      </c>
      <c r="D5" s="8" t="inlineStr"/>
      <c r="E5" s="8" t="inlineStr">
        <is>
          <t>LPL Financial LLC (CRD 6413)</t>
        </is>
      </c>
      <c r="F5" s="8" t="inlineStr">
        <is>
          <t>LPL Financial (IAR)</t>
        </is>
      </c>
      <c r="G5" s="8" t="inlineStr">
        <is>
          <t>Self-clearing (LPL Financial). Confirmed.</t>
        </is>
      </c>
      <c r="H5" s="9" t="inlineStr">
        <is>
          <t>4310 Johnston St</t>
        </is>
      </c>
      <c r="I5" s="8" t="inlineStr">
        <is>
          <t>Lafayette, LA 70503</t>
        </is>
      </c>
      <c r="J5" s="8" t="inlineStr"/>
      <c r="K5" s="8" t="inlineStr"/>
      <c r="L5" s="9" t="inlineStr"/>
      <c r="M5" s="8" t="inlineStr">
        <is>
          <t>13 yrs oil &amp; gas, then finance</t>
        </is>
      </c>
      <c r="N5" s="9" t="inlineStr">
        <is>
          <t>Only a first name surfaced. BS finance and MBA, UL Lafayette. Career-changer from oil and gas production.</t>
        </is>
      </c>
      <c r="O5" s="8" t="inlineStr">
        <is>
          <t>Low</t>
        </is>
      </c>
    </row>
    <row r="7">
      <c r="A7" s="5" t="inlineStr">
        <is>
          <t>Advisors listed on this tab:</t>
        </is>
      </c>
      <c r="D7" s="5">
        <f>COUNTA(A5:A5)</f>
        <v/>
      </c>
    </row>
    <row r="9" ht="28" customHeight="1">
      <c r="A9" s="11" t="inlineStr">
        <is>
          <t>The bank was actively recruiting a Financial Advisor for the Acadiana area with an existing book, so this program may be mid-build. Call to find out who is actually seated before working it.</t>
        </is>
      </c>
    </row>
  </sheetData>
  <mergeCells count="1">
    <mergeCell ref="A9:O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Hancock Whitney — three separate wealth channels</t>
        </is>
      </c>
    </row>
    <row r="2">
      <c r="A2" s="2" t="inlineStr">
        <is>
          <t>Program HQ 525 Florida Ave SW, Denham Springs LA 70726. Toll free 800-385-4188. Largest wealth footprint in the state.</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John S. "Trey" Nordan</t>
        </is>
      </c>
      <c r="B5" s="8" t="inlineStr"/>
      <c r="C5" s="8" t="inlineStr">
        <is>
          <t>Senior Financial Advisor</t>
        </is>
      </c>
      <c r="D5" s="8" t="inlineStr"/>
      <c r="E5" s="8" t="inlineStr">
        <is>
          <t>Cetera Investment Services LLC (CRD 15340)</t>
        </is>
      </c>
      <c r="F5" s="8" t="inlineStr">
        <is>
          <t>Cetera Investment Advisers LLC</t>
        </is>
      </c>
      <c r="G5" s="8" t="inlineStr">
        <is>
          <t>Advisor's choice of BNY Pershing, NFS (Fidelity), or Cetera's own self-clearing BD. Confirmed.</t>
        </is>
      </c>
      <c r="H5" s="9" t="inlineStr">
        <is>
          <t>Hancock Whitney Bank</t>
        </is>
      </c>
      <c r="I5" s="8" t="inlineStr">
        <is>
          <t>Louisiana</t>
        </is>
      </c>
      <c r="J5" s="8" t="inlineStr">
        <is>
          <t>800-385-4188</t>
        </is>
      </c>
      <c r="K5" s="8" t="inlineStr">
        <is>
          <t>Firm pattern: first.last@hancockwhitney.com</t>
        </is>
      </c>
      <c r="L5" s="9" t="inlineStr"/>
      <c r="M5" s="8" t="inlineStr"/>
      <c r="N5" s="9" t="inlineStr">
        <is>
          <t>Ole Miss BS. Previously Prudential and Northwestern Mutual; earlier a consultant at the Mississippi State Personnel Board.</t>
        </is>
      </c>
      <c r="O5" s="8" t="inlineStr">
        <is>
          <t>Moderate</t>
        </is>
      </c>
    </row>
    <row r="7">
      <c r="A7" s="5" t="inlineStr">
        <is>
          <t>Advisors listed on this tab:</t>
        </is>
      </c>
      <c r="D7" s="5">
        <f>COUNTA(A5:A5)</f>
        <v/>
      </c>
    </row>
    <row r="9" ht="28" customHeight="1">
      <c r="A9" s="11" t="inlineStr">
        <is>
          <t>THREE CHANNELS, THREE DIFFERENT BUYERS. (1) Hancock Whitney Investment Services Inc., the bank's OWN in-house broker-dealer and SEC-registered adviser, FINRA firm CRD 40637, formed 1995, doing HNW and institutional discretionary management. (2) In-house Trust and Asset Management, enlarged in 2018 by buying Capital One's trust book (~$10B AUA, ~$4B AUM, largely Louisiana and East Texas). (3) Hancock Whitney Financial Consultants, the branch program on Cetera.</t>
        </is>
      </c>
    </row>
    <row r="11" ht="28" customHeight="1">
      <c r="A11" s="11" t="inlineStr">
        <is>
          <t>BIGGEST ROSTER GAP IN THIS WORKBOOK. The branch program staffs 18 Louisiana towns: Baton Rouge, Covington, Denham Springs, Gonzales, Hammond, Harvey, Kenner, Lafayette, Lake Charles, Mandeville, Metairie, Natchitoches, New Orleans, River Ridge, Slidell, St. Francisville, Thibodaux, Zachary. That is likely 15+ consultants and only one name surfaced. The locator page lists them all.</t>
        </is>
      </c>
    </row>
  </sheetData>
  <mergeCells count="2">
    <mergeCell ref="A9:O9"/>
    <mergeCell ref="A11:O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Regions Bank — Regions Investment Solutions + Private Wealth</t>
        </is>
      </c>
    </row>
    <row r="2">
      <c r="A2" s="2" t="inlineStr">
        <is>
          <t>Branch advisor program on Cetera (relationship renewed Sept 2024). Regions Private Wealth Management and Regions Asset Management run in-house. Program line 1-800-598-9164.</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Bruno Villar</t>
        </is>
      </c>
      <c r="B5" s="8" t="inlineStr">
        <is>
          <t>Bruno I Villar</t>
        </is>
      </c>
      <c r="C5" s="8" t="inlineStr">
        <is>
          <t>Financial Advisor</t>
        </is>
      </c>
      <c r="D5" s="8" t="inlineStr">
        <is>
          <t>7381698</t>
        </is>
      </c>
      <c r="E5" s="8" t="inlineStr">
        <is>
          <t>Cetera Investment Services LLC (CRD 15340)</t>
        </is>
      </c>
      <c r="F5" s="8" t="inlineStr">
        <is>
          <t>Cetera Investment Advisers LLC</t>
        </is>
      </c>
      <c r="G5" s="8" t="inlineStr">
        <is>
          <t>Advisor's choice of BNY Pershing, NFS (Fidelity), or Cetera's own self-clearing BD. Confirmed.</t>
        </is>
      </c>
      <c r="H5" s="9" t="inlineStr">
        <is>
          <t>Regions Bank</t>
        </is>
      </c>
      <c r="I5" s="8" t="inlineStr">
        <is>
          <t>Baton Rouge</t>
        </is>
      </c>
      <c r="J5" s="8" t="inlineStr">
        <is>
          <t>1-800-598-9164</t>
        </is>
      </c>
      <c r="K5" s="8" t="inlineStr"/>
      <c r="L5" s="9" t="inlineStr"/>
      <c r="M5" s="8" t="inlineStr"/>
      <c r="N5" s="9" t="inlineStr">
        <is>
          <t>LinkedIn confirms Regions Investment Solutions, Baton Rouge metro.</t>
        </is>
      </c>
      <c r="O5" s="8" t="inlineStr">
        <is>
          <t>High</t>
        </is>
      </c>
    </row>
    <row r="6">
      <c r="A6" s="8" t="inlineStr">
        <is>
          <t>Kimberly Slack</t>
        </is>
      </c>
      <c r="B6" s="8" t="inlineStr">
        <is>
          <t>Kimberly Anne Slack</t>
        </is>
      </c>
      <c r="C6" s="8" t="inlineStr">
        <is>
          <t>Financial Advisor</t>
        </is>
      </c>
      <c r="D6" s="8" t="inlineStr">
        <is>
          <t>4366281</t>
        </is>
      </c>
      <c r="E6" s="8" t="inlineStr">
        <is>
          <t>Cetera Investment Services LLC (CRD 15340)</t>
        </is>
      </c>
      <c r="F6" s="8" t="inlineStr">
        <is>
          <t>Cetera Investment Advisers LLC</t>
        </is>
      </c>
      <c r="G6" s="8" t="inlineStr">
        <is>
          <t>Advisor's choice of BNY Pershing, NFS (Fidelity), or Cetera's own self-clearing BD. Confirmed.</t>
        </is>
      </c>
      <c r="H6" s="9" t="inlineStr">
        <is>
          <t>333 Texas St</t>
        </is>
      </c>
      <c r="I6" s="8" t="inlineStr">
        <is>
          <t>Shreveport</t>
        </is>
      </c>
      <c r="J6" s="8" t="inlineStr">
        <is>
          <t>1-800-598-9164</t>
        </is>
      </c>
      <c r="K6" s="8" t="inlineStr"/>
      <c r="L6" s="9" t="inlineStr"/>
      <c r="M6" s="8" t="inlineStr">
        <is>
          <t>7 yrs</t>
        </is>
      </c>
      <c r="N6" s="9" t="inlineStr">
        <is>
          <t>Career path shows Regions Bank, then Cetera Investment Services, then Cetera Investment Advisers.</t>
        </is>
      </c>
      <c r="O6" s="8" t="inlineStr">
        <is>
          <t>High</t>
        </is>
      </c>
    </row>
    <row r="7">
      <c r="A7" s="8" t="inlineStr">
        <is>
          <t>Ami Patel</t>
        </is>
      </c>
      <c r="B7" s="8" t="inlineStr"/>
      <c r="C7" s="8" t="inlineStr">
        <is>
          <t>Financial Advisor</t>
        </is>
      </c>
      <c r="D7" s="8" t="inlineStr">
        <is>
          <t>7085828</t>
        </is>
      </c>
      <c r="E7" s="8" t="inlineStr">
        <is>
          <t>Cetera Investment Services LLC (CRD 15340)</t>
        </is>
      </c>
      <c r="F7" s="8" t="inlineStr">
        <is>
          <t>Cetera Investment Advisers LLC</t>
        </is>
      </c>
      <c r="G7" s="8" t="inlineStr">
        <is>
          <t>Advisor's choice of BNY Pershing, NFS (Fidelity), or Cetera's own self-clearing BD. Confirmed.</t>
        </is>
      </c>
      <c r="H7" s="9" t="inlineStr">
        <is>
          <t>6602 Youree Dr (Bayou Walk)</t>
        </is>
      </c>
      <c r="I7" s="8" t="inlineStr">
        <is>
          <t>Shreveport</t>
        </is>
      </c>
      <c r="J7" s="8" t="inlineStr">
        <is>
          <t>1-800-598-9164</t>
        </is>
      </c>
      <c r="K7" s="8" t="inlineStr"/>
      <c r="L7" s="9" t="inlineStr"/>
      <c r="M7" s="8" t="inlineStr"/>
      <c r="N7" s="9" t="inlineStr">
        <is>
          <t>Listed on the Regions locator as a Shreveport financial advisor and on advisor directories under Cetera Investment Advisers.</t>
        </is>
      </c>
      <c r="O7" s="8" t="inlineStr">
        <is>
          <t>High</t>
        </is>
      </c>
    </row>
    <row r="8">
      <c r="A8" s="8" t="inlineStr">
        <is>
          <t>William Haynes</t>
        </is>
      </c>
      <c r="B8" s="8" t="inlineStr">
        <is>
          <t>William Chase Haynes</t>
        </is>
      </c>
      <c r="C8" s="8" t="inlineStr">
        <is>
          <t>Financial Advisor</t>
        </is>
      </c>
      <c r="D8" s="8" t="inlineStr">
        <is>
          <t>6373412</t>
        </is>
      </c>
      <c r="E8" s="8" t="inlineStr">
        <is>
          <t>Cetera Investment Services LLC (CRD 15340)</t>
        </is>
      </c>
      <c r="F8" s="8" t="inlineStr">
        <is>
          <t>Cetera Investment Advisers LLC</t>
        </is>
      </c>
      <c r="G8" s="8" t="inlineStr">
        <is>
          <t>Advisor's choice of BNY Pershing, NFS (Fidelity), or Cetera's own self-clearing BD. Confirmed.</t>
        </is>
      </c>
      <c r="H8" s="9" t="inlineStr">
        <is>
          <t>Pierre Bossier branch</t>
        </is>
      </c>
      <c r="I8" s="8" t="inlineStr">
        <is>
          <t>Bossier City</t>
        </is>
      </c>
      <c r="J8" s="8" t="inlineStr">
        <is>
          <t>1-800-598-9164</t>
        </is>
      </c>
      <c r="K8" s="8" t="inlineStr"/>
      <c r="L8" s="9" t="inlineStr"/>
      <c r="M8" s="8" t="inlineStr"/>
      <c r="N8" s="9" t="inlineStr"/>
      <c r="O8" s="8" t="inlineStr">
        <is>
          <t>High</t>
        </is>
      </c>
    </row>
    <row r="9">
      <c r="A9" s="8" t="inlineStr">
        <is>
          <t>William Teague</t>
        </is>
      </c>
      <c r="B9" s="8" t="inlineStr">
        <is>
          <t>William Teague (see note)</t>
        </is>
      </c>
      <c r="C9" s="8" t="inlineStr">
        <is>
          <t>Financial Advisor</t>
        </is>
      </c>
      <c r="D9" s="8" t="inlineStr">
        <is>
          <t>6247343 (see note)</t>
        </is>
      </c>
      <c r="E9" s="8" t="inlineStr">
        <is>
          <t>Cetera Investment Services LLC (CRD 15340)</t>
        </is>
      </c>
      <c r="F9" s="8" t="inlineStr">
        <is>
          <t>Cetera Investment Advisers LLC</t>
        </is>
      </c>
      <c r="G9" s="8" t="inlineStr">
        <is>
          <t>Advisor's choice of BNY Pershing, NFS (Fidelity), or Cetera's own self-clearing BD. Confirmed.</t>
        </is>
      </c>
      <c r="H9" s="9" t="inlineStr">
        <is>
          <t>101 Wall Blvd</t>
        </is>
      </c>
      <c r="I9" s="8" t="inlineStr">
        <is>
          <t>Gretna / Harvey</t>
        </is>
      </c>
      <c r="J9" s="8" t="inlineStr">
        <is>
          <t>1-800-598-9164</t>
        </is>
      </c>
      <c r="K9" s="8" t="inlineStr"/>
      <c r="L9" s="9" t="inlineStr"/>
      <c r="M9" s="8" t="inlineStr"/>
      <c r="N9" s="9" t="inlineStr">
        <is>
          <t>TWO CANDIDATE RECORDS: CRD 6247343 and a separate 'William Jesse Teague' at CRD 829433. Confirm which before using.</t>
        </is>
      </c>
      <c r="O9" s="8" t="inlineStr">
        <is>
          <t>Low</t>
        </is>
      </c>
    </row>
    <row r="11">
      <c r="A11" s="5" t="inlineStr">
        <is>
          <t>Advisors listed on this tab:</t>
        </is>
      </c>
      <c r="D11" s="5">
        <f>COUNTA(A5:A9)</f>
        <v/>
      </c>
    </row>
    <row r="13" ht="28" customHeight="1">
      <c r="A13" s="11" t="inlineStr">
        <is>
          <t>Regions staffs at least 10 Louisiana towns: Baton Rouge, Bossier City, Covington, Denham Springs, Harvey, Houma, LaPlace, New Orleans, Shreveport, West Monroe. Five names captured, so roughly half the roster is still missing. The full list is on regions.com/directory/financial-advisor/la.</t>
        </is>
      </c>
    </row>
  </sheetData>
  <mergeCells count="1">
    <mergeCell ref="A13:O1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Bank of St. Francisville AND Peoples Bank of Pointe Coupee — the Malara team</t>
        </is>
      </c>
    </row>
    <row r="2">
      <c r="A2" s="2" t="inlineStr">
        <is>
          <t>One husband-and-wife Cetera team serving TWO banks. ~$180MM in client assets across roughly 700 retail clients.</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Pamela Malara</t>
        </is>
      </c>
      <c r="B5" s="8" t="inlineStr">
        <is>
          <t>Pamela Malara</t>
        </is>
      </c>
      <c r="C5" s="8" t="inlineStr">
        <is>
          <t>Financial Advisor / IAR</t>
        </is>
      </c>
      <c r="D5" s="8" t="inlineStr">
        <is>
          <t>2608893</t>
        </is>
      </c>
      <c r="E5" s="8" t="inlineStr">
        <is>
          <t>Cetera Investment Services LLC (CRD 15340)</t>
        </is>
      </c>
      <c r="F5" s="8" t="inlineStr">
        <is>
          <t>Cetera Investment Advisers LLC</t>
        </is>
      </c>
      <c r="G5" s="8" t="inlineStr">
        <is>
          <t>Advisor's choice of BNY Pershing, NFS (Fidelity), or Cetera's own self-clearing BD. Confirmed.</t>
        </is>
      </c>
      <c r="H5" s="9" t="inlineStr">
        <is>
          <t>5681 Commerce St</t>
        </is>
      </c>
      <c r="I5" s="8" t="inlineStr">
        <is>
          <t>St. Francisville, LA 70775</t>
        </is>
      </c>
      <c r="J5" s="8" t="inlineStr">
        <is>
          <t>(225) 635-0047 / (800) 901-0047</t>
        </is>
      </c>
      <c r="K5" s="8" t="inlineStr"/>
      <c r="L5" s="9" t="inlineStr"/>
      <c r="M5" s="8" t="inlineStr">
        <is>
          <t>23 yrs, 3 at Cetera</t>
        </is>
      </c>
      <c r="N5" s="9" t="inlineStr">
        <is>
          <t>Moved to Cetera from Ameriprise; the team was reported as a $180MM Ameriprise-to-Cetera move.</t>
        </is>
      </c>
      <c r="O5" s="8" t="inlineStr">
        <is>
          <t>High</t>
        </is>
      </c>
    </row>
    <row r="6">
      <c r="A6" s="8" t="inlineStr">
        <is>
          <t>Joseph Malara</t>
        </is>
      </c>
      <c r="B6" s="8" t="inlineStr">
        <is>
          <t>Joseph Dominick Malara</t>
        </is>
      </c>
      <c r="C6" s="8" t="inlineStr">
        <is>
          <t>Financial Advisor</t>
        </is>
      </c>
      <c r="D6" s="8" t="inlineStr">
        <is>
          <t>4975927</t>
        </is>
      </c>
      <c r="E6" s="8" t="inlineStr">
        <is>
          <t>Cetera Investment Services LLC (CRD 15340)</t>
        </is>
      </c>
      <c r="F6" s="8" t="inlineStr">
        <is>
          <t>Cetera Investment Advisers LLC</t>
        </is>
      </c>
      <c r="G6" s="8" t="inlineStr">
        <is>
          <t>Advisor's choice of BNY Pershing, NFS (Fidelity), or Cetera's own self-clearing BD. Confirmed.</t>
        </is>
      </c>
      <c r="H6" s="9" t="inlineStr">
        <is>
          <t>5681 Commerce St</t>
        </is>
      </c>
      <c r="I6" s="8" t="inlineStr">
        <is>
          <t>St. Francisville, LA 70775</t>
        </is>
      </c>
      <c r="J6" s="8" t="inlineStr">
        <is>
          <t>(225) 635-0047 / (800) 901-0047</t>
        </is>
      </c>
      <c r="K6" s="8" t="inlineStr"/>
      <c r="L6" s="9" t="inlineStr"/>
      <c r="M6" s="8" t="inlineStr"/>
      <c r="N6" s="9" t="inlineStr"/>
      <c r="O6" s="8" t="inlineStr">
        <is>
          <t>High</t>
        </is>
      </c>
    </row>
    <row r="8">
      <c r="A8" s="5" t="inlineStr">
        <is>
          <t>Advisors listed on this tab:</t>
        </is>
      </c>
      <c r="D8" s="5">
        <f>COUNTA(A5:A6)</f>
        <v/>
      </c>
    </row>
    <row r="10" ht="28" customHeight="1">
      <c r="A10" s="11" t="inlineStr">
        <is>
          <t>This team covers BOTH Bank of St. Francisville and Peoples Bank of Pointe Coupee Parish, plus Baton Rouge, Central, Livonia and New Roads. Peoples Bank of Pointe Coupee was previously on the unverified list; this resolves it.</t>
        </is>
      </c>
    </row>
  </sheetData>
  <mergeCells count="1">
    <mergeCell ref="A10:O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b1BANK — b1 Wealth Solutions Group</t>
        </is>
      </c>
    </row>
    <row r="2">
      <c r="A2" s="2" t="inlineStr">
        <is>
          <t>Moved to Raymond James Financial Institutions Division July 2026. Combined program is 3 advisors and $600MM+ across Louisiana and Texas. Team page sits under raymondjames.com/b1wealth, listed out of Lafayette.</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Jeremy A. Parker</t>
        </is>
      </c>
      <c r="B5" s="8" t="inlineStr"/>
      <c r="C5" s="8" t="inlineStr">
        <is>
          <t>Financial Advisor</t>
        </is>
      </c>
      <c r="D5" s="8" t="inlineStr"/>
      <c r="E5" s="8" t="inlineStr">
        <is>
          <t>Raymond James Financial Services (CRD 6694)</t>
        </is>
      </c>
      <c r="F5" s="8" t="inlineStr">
        <is>
          <t>Raymond James Financial Services Advisors</t>
        </is>
      </c>
      <c r="G5" s="8" t="inlineStr">
        <is>
          <t>Self-clearing (Raymond James &amp; Associates). Confirmed.</t>
        </is>
      </c>
      <c r="H5" s="9" t="inlineStr">
        <is>
          <t>b1BANK / b1Wealth</t>
        </is>
      </c>
      <c r="I5" s="8" t="inlineStr">
        <is>
          <t>Lafayette</t>
        </is>
      </c>
      <c r="J5" s="8" t="inlineStr"/>
      <c r="K5" s="8" t="inlineStr"/>
      <c r="L5" s="9" t="inlineStr"/>
      <c r="M5" s="8" t="inlineStr"/>
      <c r="N5" s="9" t="inlineStr">
        <is>
          <t>Came in through the January 2026 acquisition of Progressive Bank, where he was a financial advisor at Progressive Financial Advisors LLC, already a Raymond James FID team. Has a bio page at raymondjames.com/b1wealth/our-team.</t>
        </is>
      </c>
      <c r="O5" s="8" t="inlineStr">
        <is>
          <t>High</t>
        </is>
      </c>
    </row>
    <row r="6">
      <c r="A6" s="8" t="inlineStr">
        <is>
          <t>Name not found</t>
        </is>
      </c>
      <c r="B6" s="8" t="inlineStr"/>
      <c r="C6" s="8" t="inlineStr">
        <is>
          <t>Senior Vice President, b1 Wealth Solutions Financial Advisor</t>
        </is>
      </c>
      <c r="D6" s="8" t="inlineStr"/>
      <c r="E6" s="8" t="inlineStr">
        <is>
          <t>Raymond James Financial Services (CRD 6694)</t>
        </is>
      </c>
      <c r="F6" s="8" t="inlineStr">
        <is>
          <t>Raymond James Financial Services Advisors</t>
        </is>
      </c>
      <c r="G6" s="8" t="inlineStr">
        <is>
          <t>Self-clearing (Raymond James &amp; Associates). Confirmed.</t>
        </is>
      </c>
      <c r="H6" s="9" t="inlineStr">
        <is>
          <t>b1BANK / b1Wealth</t>
        </is>
      </c>
      <c r="I6" s="8" t="inlineStr">
        <is>
          <t>Lafayette</t>
        </is>
      </c>
      <c r="J6" s="8" t="inlineStr"/>
      <c r="K6" s="8" t="inlineStr"/>
      <c r="L6" s="9" t="inlineStr"/>
      <c r="M6" s="8" t="inlineStr"/>
      <c r="N6" s="9" t="inlineStr">
        <is>
          <t>Listed on the Raymond James b1Wealth team page as an SVP but the name did not surface in search snippets.</t>
        </is>
      </c>
      <c r="O6" s="8" t="inlineStr">
        <is>
          <t>Low</t>
        </is>
      </c>
    </row>
    <row r="8">
      <c r="A8" s="5" t="inlineStr">
        <is>
          <t>Advisors listed on this tab:</t>
        </is>
      </c>
      <c r="D8" s="5">
        <f>COUNTA(A5:A6)</f>
        <v/>
      </c>
    </row>
    <row r="10" ht="28" customHeight="1">
      <c r="A10" s="11" t="inlineStr">
        <is>
          <t>BEST SINGLE PROSPECT IN THE STATE. Newly consolidated, $600MM+, only three advisors, and two names still missing. b1BANK also owns Smith Shellnut Wilson LLC, a separate SEC-registered RIA in Ridgeland MS with $3.5B AUM bought in March 2021 — far larger than the bank's own wealth division and a distinct call.</t>
        </is>
      </c>
    </row>
  </sheetData>
  <mergeCells count="1">
    <mergeCell ref="A10:O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Community Bank of Louisiana — Community Wealth Services</t>
        </is>
      </c>
    </row>
    <row r="2">
      <c r="A2" s="2" t="inlineStr">
        <is>
          <t>Ameriprise Financial Institutions Group on-site program. Bank HQ Mansfield (DeSoto Parish), 12 locations across Shreveport, Bossier, Mansfield, Gloster, Logansport, Stonewall, Many. Full roster captured.</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Tim Brown</t>
        </is>
      </c>
      <c r="B5" s="8" t="inlineStr">
        <is>
          <t>Timothy Houston Brown Sr</t>
        </is>
      </c>
      <c r="C5" s="8" t="inlineStr">
        <is>
          <t>Program Manager &amp; Financial Advisor</t>
        </is>
      </c>
      <c r="D5" s="8" t="inlineStr">
        <is>
          <t>1018810</t>
        </is>
      </c>
      <c r="E5" s="8" t="inlineStr">
        <is>
          <t>Ameriprise Financial Services LLC</t>
        </is>
      </c>
      <c r="F5" s="8" t="inlineStr">
        <is>
          <t>Ameriprise Financial Services LLC</t>
        </is>
      </c>
      <c r="G5" s="8" t="inlineStr">
        <is>
          <t>Self-clearing (American Enterprise Investment Svcs). Confirmed self-clearing.</t>
        </is>
      </c>
      <c r="H5" s="9" t="inlineStr">
        <is>
          <t>3000 Fairfield Ave</t>
        </is>
      </c>
      <c r="I5" s="8" t="inlineStr">
        <is>
          <t>Shreveport, LA 71104</t>
        </is>
      </c>
      <c r="J5" s="8" t="inlineStr"/>
      <c r="K5" s="8" t="inlineStr"/>
      <c r="L5" s="9" t="inlineStr"/>
      <c r="M5" s="8" t="inlineStr"/>
      <c r="N5" s="9" t="inlineStr">
        <is>
          <t>Profile at ameripriseadvisors.com/tim.brown. Leads the program.</t>
        </is>
      </c>
      <c r="O5" s="8" t="inlineStr">
        <is>
          <t>High</t>
        </is>
      </c>
    </row>
    <row r="6">
      <c r="A6" s="8" t="inlineStr">
        <is>
          <t>Wiley LaVigne</t>
        </is>
      </c>
      <c r="B6" s="8" t="inlineStr"/>
      <c r="C6" s="8" t="inlineStr">
        <is>
          <t>Financial Advisor</t>
        </is>
      </c>
      <c r="D6" s="8" t="inlineStr"/>
      <c r="E6" s="8" t="inlineStr">
        <is>
          <t>Ameriprise Financial Services LLC</t>
        </is>
      </c>
      <c r="F6" s="8" t="inlineStr">
        <is>
          <t>Ameriprise Financial Services LLC</t>
        </is>
      </c>
      <c r="G6" s="8" t="inlineStr">
        <is>
          <t>Self-clearing (American Enterprise Investment Svcs). Confirmed self-clearing.</t>
        </is>
      </c>
      <c r="H6" s="9" t="inlineStr">
        <is>
          <t>3000 Fairfield Ave</t>
        </is>
      </c>
      <c r="I6" s="8" t="inlineStr">
        <is>
          <t>Shreveport, LA 71104-2930</t>
        </is>
      </c>
      <c r="J6" s="8" t="inlineStr"/>
      <c r="K6" s="8" t="inlineStr"/>
      <c r="L6" s="9" t="inlineStr"/>
      <c r="M6" s="8" t="inlineStr"/>
      <c r="N6" s="9" t="inlineStr">
        <is>
          <t>Profile at ameripriseadvisors.com/Wiley.LaVigne.</t>
        </is>
      </c>
      <c r="O6" s="8" t="inlineStr">
        <is>
          <t>High</t>
        </is>
      </c>
    </row>
    <row r="7">
      <c r="A7" s="8" t="inlineStr">
        <is>
          <t>Bryan Hildebrand</t>
        </is>
      </c>
      <c r="B7" s="8" t="inlineStr"/>
      <c r="C7" s="8" t="inlineStr">
        <is>
          <t>Financial Advisor</t>
        </is>
      </c>
      <c r="D7" s="8" t="inlineStr"/>
      <c r="E7" s="8" t="inlineStr">
        <is>
          <t>Ameriprise Financial Services LLC</t>
        </is>
      </c>
      <c r="F7" s="8" t="inlineStr">
        <is>
          <t>Ameriprise Financial Services LLC</t>
        </is>
      </c>
      <c r="G7" s="8" t="inlineStr">
        <is>
          <t>Self-clearing (American Enterprise Investment Svcs). Confirmed self-clearing.</t>
        </is>
      </c>
      <c r="H7" s="9" t="inlineStr">
        <is>
          <t>3000 Fairfield Ave</t>
        </is>
      </c>
      <c r="I7" s="8" t="inlineStr">
        <is>
          <t>Shreveport, LA 71104</t>
        </is>
      </c>
      <c r="J7" s="8" t="inlineStr"/>
      <c r="K7" s="8" t="inlineStr"/>
      <c r="L7" s="9" t="inlineStr"/>
      <c r="M7" s="8" t="inlineStr"/>
      <c r="N7" s="9" t="inlineStr">
        <is>
          <t>Father in a father-and-son team. Joined Community Wealth Services FROM EDWARD JONES with nearly $190MM in client assets.</t>
        </is>
      </c>
      <c r="O7" s="8" t="inlineStr">
        <is>
          <t>High</t>
        </is>
      </c>
    </row>
    <row r="8">
      <c r="A8" s="8" t="inlineStr">
        <is>
          <t>Hayden Hildebrand</t>
        </is>
      </c>
      <c r="B8" s="8" t="inlineStr"/>
      <c r="C8" s="8" t="inlineStr">
        <is>
          <t>Financial Advisor</t>
        </is>
      </c>
      <c r="D8" s="8" t="inlineStr"/>
      <c r="E8" s="8" t="inlineStr">
        <is>
          <t>Ameriprise Financial Services LLC</t>
        </is>
      </c>
      <c r="F8" s="8" t="inlineStr">
        <is>
          <t>Ameriprise Financial Services LLC</t>
        </is>
      </c>
      <c r="G8" s="8" t="inlineStr">
        <is>
          <t>Self-clearing (American Enterprise Investment Svcs). Confirmed self-clearing.</t>
        </is>
      </c>
      <c r="H8" s="9" t="inlineStr">
        <is>
          <t>3000 Fairfield Ave</t>
        </is>
      </c>
      <c r="I8" s="8" t="inlineStr">
        <is>
          <t>Shreveport, LA 71104</t>
        </is>
      </c>
      <c r="J8" s="8" t="inlineStr"/>
      <c r="K8" s="8" t="inlineStr"/>
      <c r="L8" s="9" t="inlineStr"/>
      <c r="M8" s="8" t="inlineStr"/>
      <c r="N8" s="9" t="inlineStr">
        <is>
          <t>Son in the father-and-son team. Has his own team page at ameripriseadvisors.com/hayden.hildebrand.</t>
        </is>
      </c>
      <c r="O8" s="8" t="inlineStr">
        <is>
          <t>High</t>
        </is>
      </c>
    </row>
    <row r="9">
      <c r="A9" s="8" t="inlineStr">
        <is>
          <t>Abigail Sibley</t>
        </is>
      </c>
      <c r="B9" s="8" t="inlineStr"/>
      <c r="C9" s="8" t="inlineStr">
        <is>
          <t>Client Service Specialist</t>
        </is>
      </c>
      <c r="D9" s="8" t="inlineStr"/>
      <c r="E9" s="8" t="inlineStr"/>
      <c r="F9" s="8" t="inlineStr"/>
      <c r="G9" s="8" t="inlineStr"/>
      <c r="H9" s="9" t="inlineStr">
        <is>
          <t>3000 Fairfield Ave</t>
        </is>
      </c>
      <c r="I9" s="8" t="inlineStr">
        <is>
          <t>Shreveport, LA 71104</t>
        </is>
      </c>
      <c r="J9" s="8" t="inlineStr"/>
      <c r="K9" s="8" t="inlineStr"/>
      <c r="L9" s="9" t="inlineStr"/>
      <c r="M9" s="8" t="inlineStr"/>
      <c r="N9" s="9" t="inlineStr">
        <is>
          <t>Came over from Edward Jones with the Hildebrands. Not an advisor, but the gatekeeper.</t>
        </is>
      </c>
      <c r="O9" s="8" t="inlineStr">
        <is>
          <t>High</t>
        </is>
      </c>
    </row>
    <row r="11">
      <c r="A11" s="5" t="inlineStr">
        <is>
          <t>Advisors listed on this tab:</t>
        </is>
      </c>
      <c r="D11" s="5">
        <f>COUNTA(A5:A9)</f>
        <v/>
      </c>
    </row>
    <row r="13" ht="28" customHeight="1">
      <c r="A13" s="11" t="inlineStr">
        <is>
          <t>The Hildebrand team's ~$190MM Edward Jones-to-Ameriprise move is recent and the program was deliberately opened to the general public, not just bank customers. This is a program in active growth mode and the only Louisiana bank tab where the roster is complete.</t>
        </is>
      </c>
    </row>
  </sheetData>
  <mergeCells count="1">
    <mergeCell ref="A13:O1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7"/>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Gulf Coast Bank &amp; Trust (New Orleans) — Wealth Management + in-house Trust</t>
        </is>
      </c>
    </row>
    <row r="2">
      <c r="A2" s="2" t="inlineStr">
        <is>
          <t>Two channels. Gulf Coast Wealth Management moved from LPL to Arkadios in July 2024 with ~$850MM after a 20+ year LPL relationship. Separate in-house trust and fiduciary department. Bank main line 1-800-223-2060.</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Jason King</t>
        </is>
      </c>
      <c r="B5" s="8" t="inlineStr">
        <is>
          <t>Jason King (see note)</t>
        </is>
      </c>
      <c r="C5" s="8" t="inlineStr">
        <is>
          <t>Wealth Management Director / Program Director</t>
        </is>
      </c>
      <c r="D5" s="8" t="inlineStr">
        <is>
          <t>4296683 (unconfirmed)</t>
        </is>
      </c>
      <c r="E5" s="8" t="inlineStr">
        <is>
          <t>Arkadios Capital (CRD 282710)</t>
        </is>
      </c>
      <c r="F5" s="8" t="inlineStr">
        <is>
          <t>Arkadios Wealth Advisors</t>
        </is>
      </c>
      <c r="G5" s="8" t="inlineStr">
        <is>
          <t>Not confirmed. Arkadios clearing relationship did not surface. Ask on the call.</t>
        </is>
      </c>
      <c r="H5" s="9" t="inlineStr">
        <is>
          <t>Gulf Coast Bank &amp; Trust</t>
        </is>
      </c>
      <c r="I5" s="8" t="inlineStr">
        <is>
          <t>New Orleans</t>
        </is>
      </c>
      <c r="J5" s="8" t="inlineStr">
        <is>
          <t>1-800-223-2060</t>
        </is>
      </c>
      <c r="K5" s="8" t="inlineStr"/>
      <c r="L5" s="9" t="inlineStr"/>
      <c r="M5" s="8" t="inlineStr"/>
      <c r="N5" s="9" t="inlineStr">
        <is>
          <t>ENTRY POINT for the program. A BrokerCheck record for a 'Jason King' at CRD 4296683 surfaced but could not be tied to this specific person; a different Jason T King (CRD 6963658) is at Jane Street. Confirm identity.</t>
        </is>
      </c>
      <c r="O5" s="8" t="inlineStr">
        <is>
          <t>Low</t>
        </is>
      </c>
    </row>
    <row r="6">
      <c r="A6" s="8" t="inlineStr">
        <is>
          <t>Patrick Talamo</t>
        </is>
      </c>
      <c r="B6" s="8" t="inlineStr"/>
      <c r="C6" s="8" t="inlineStr">
        <is>
          <t>Financial Advisor</t>
        </is>
      </c>
      <c r="D6" s="8" t="inlineStr">
        <is>
          <t>3265077</t>
        </is>
      </c>
      <c r="E6" s="8" t="inlineStr">
        <is>
          <t>LPL Financial (see note)</t>
        </is>
      </c>
      <c r="F6" s="8" t="inlineStr">
        <is>
          <t>Arkadios Wealth Advisors (prior)</t>
        </is>
      </c>
      <c r="G6" s="8" t="inlineStr">
        <is>
          <t>See note</t>
        </is>
      </c>
      <c r="H6" s="9" t="inlineStr">
        <is>
          <t>7235 Jefferson Hwy</t>
        </is>
      </c>
      <c r="I6" s="8" t="inlineStr">
        <is>
          <t>Baton Rouge</t>
        </is>
      </c>
      <c r="J6" s="8" t="inlineStr"/>
      <c r="K6" s="8" t="inlineStr"/>
      <c r="L6" s="9" t="inlineStr"/>
      <c r="M6" s="8" t="inlineStr"/>
      <c r="N6" s="9" t="inlineStr">
        <is>
          <t>POSSIBLE RECENT MOVE. A directory shows him CURRENTLY at LPL Financial with Arkadios Wealth Advisors, Gulf Coast Bank &amp; Trust and Arkadios Capital as PRIOR firms. If accurate he has left the Arkadios program. Verify before calling.</t>
        </is>
      </c>
      <c r="O6" s="8" t="inlineStr">
        <is>
          <t>Low</t>
        </is>
      </c>
    </row>
    <row r="7">
      <c r="A7" s="8" t="inlineStr">
        <is>
          <t>Alfredo J. Martinez</t>
        </is>
      </c>
      <c r="B7" s="8" t="inlineStr">
        <is>
          <t>Alfredo J Martinez</t>
        </is>
      </c>
      <c r="C7" s="8" t="inlineStr">
        <is>
          <t>Financial Advisor</t>
        </is>
      </c>
      <c r="D7" s="8" t="inlineStr">
        <is>
          <t>4241627</t>
        </is>
      </c>
      <c r="E7" s="8" t="inlineStr">
        <is>
          <t>Arkadios Capital (CRD 282710)</t>
        </is>
      </c>
      <c r="F7" s="8" t="inlineStr">
        <is>
          <t>Arkadios Wealth Advisors</t>
        </is>
      </c>
      <c r="G7" s="8" t="inlineStr">
        <is>
          <t>Not confirmed. Arkadios clearing relationship did not surface. Ask on the call.</t>
        </is>
      </c>
      <c r="H7" s="9" t="inlineStr">
        <is>
          <t>3410 Williams Blvd</t>
        </is>
      </c>
      <c r="I7" s="8" t="inlineStr">
        <is>
          <t>Kenner</t>
        </is>
      </c>
      <c r="J7" s="8" t="inlineStr"/>
      <c r="K7" s="8" t="inlineStr"/>
      <c r="L7" s="9" t="inlineStr"/>
      <c r="M7" s="8" t="inlineStr"/>
      <c r="N7" s="9" t="inlineStr">
        <is>
          <t>Do not confuse with a separate 'Alfredo Martinez Villa', CRD 6456380.</t>
        </is>
      </c>
      <c r="O7" s="8" t="inlineStr">
        <is>
          <t>High</t>
        </is>
      </c>
    </row>
    <row r="8">
      <c r="A8" s="8" t="inlineStr">
        <is>
          <t>Ryann Gallois</t>
        </is>
      </c>
      <c r="B8" s="8" t="inlineStr">
        <is>
          <t>Ryann Louis Gallois</t>
        </is>
      </c>
      <c r="C8" s="8" t="inlineStr">
        <is>
          <t>Financial Advisor</t>
        </is>
      </c>
      <c r="D8" s="8" t="inlineStr">
        <is>
          <t>7275368</t>
        </is>
      </c>
      <c r="E8" s="8" t="inlineStr">
        <is>
          <t>Arkadios Capital (CRD 282710)</t>
        </is>
      </c>
      <c r="F8" s="8" t="inlineStr">
        <is>
          <t>Arkadios Wealth Advisors</t>
        </is>
      </c>
      <c r="G8" s="8" t="inlineStr">
        <is>
          <t>Not confirmed. Arkadios clearing relationship did not surface. Ask on the call.</t>
        </is>
      </c>
      <c r="H8" s="9" t="inlineStr">
        <is>
          <t>Gulf Coast Bank &amp; Trust</t>
        </is>
      </c>
      <c r="I8" s="8" t="inlineStr">
        <is>
          <t>New Orleans</t>
        </is>
      </c>
      <c r="J8" s="8" t="inlineStr"/>
      <c r="K8" s="8" t="inlineStr"/>
      <c r="L8" s="9" t="inlineStr">
        <is>
          <t>Series 66</t>
        </is>
      </c>
      <c r="M8" s="8" t="inlineStr">
        <is>
          <t>5 yrs</t>
        </is>
      </c>
      <c r="N8" s="9" t="inlineStr"/>
      <c r="O8" s="8" t="inlineStr">
        <is>
          <t>High</t>
        </is>
      </c>
    </row>
    <row r="9">
      <c r="A9" s="8" t="inlineStr">
        <is>
          <t>Zachary Gorres</t>
        </is>
      </c>
      <c r="B9" s="8" t="inlineStr"/>
      <c r="C9" s="8" t="inlineStr">
        <is>
          <t>Financial Advisor</t>
        </is>
      </c>
      <c r="D9" s="8" t="inlineStr"/>
      <c r="E9" s="8" t="inlineStr">
        <is>
          <t>Arkadios Capital (CRD 282710)</t>
        </is>
      </c>
      <c r="F9" s="8" t="inlineStr">
        <is>
          <t>Arkadios Wealth Advisors</t>
        </is>
      </c>
      <c r="G9" s="8" t="inlineStr">
        <is>
          <t>Not confirmed. Arkadios clearing relationship did not surface. Ask on the call.</t>
        </is>
      </c>
      <c r="H9" s="9" t="inlineStr">
        <is>
          <t>Gulf Coast Bank &amp; Trust</t>
        </is>
      </c>
      <c r="I9" s="8" t="inlineStr">
        <is>
          <t>Chalmette</t>
        </is>
      </c>
      <c r="J9" s="8" t="inlineStr"/>
      <c r="K9" s="8" t="inlineStr"/>
      <c r="L9" s="9" t="inlineStr"/>
      <c r="M9" s="8" t="inlineStr"/>
      <c r="N9" s="9" t="inlineStr">
        <is>
          <t>No BrokerCheck record surfaced under this spelling. Verify the name.</t>
        </is>
      </c>
      <c r="O9" s="8" t="inlineStr">
        <is>
          <t>Low</t>
        </is>
      </c>
    </row>
    <row r="10">
      <c r="A10" s="8" t="inlineStr">
        <is>
          <t>Slade Simons</t>
        </is>
      </c>
      <c r="B10" s="8" t="inlineStr"/>
      <c r="C10" s="8" t="inlineStr">
        <is>
          <t>Financial Advisor</t>
        </is>
      </c>
      <c r="D10" s="8" t="inlineStr">
        <is>
          <t>2576344</t>
        </is>
      </c>
      <c r="E10" s="8" t="inlineStr">
        <is>
          <t>Arkadios Capital (CRD 282710)</t>
        </is>
      </c>
      <c r="F10" s="8" t="inlineStr">
        <is>
          <t>Arkadios Wealth Advisors</t>
        </is>
      </c>
      <c r="G10" s="8" t="inlineStr">
        <is>
          <t>Not confirmed. Arkadios clearing relationship did not surface. Ask on the call.</t>
        </is>
      </c>
      <c r="H10" s="9" t="inlineStr">
        <is>
          <t>Gulf Coast Bank &amp; Trust</t>
        </is>
      </c>
      <c r="I10" s="8" t="inlineStr">
        <is>
          <t>Metairie</t>
        </is>
      </c>
      <c r="J10" s="8" t="inlineStr"/>
      <c r="K10" s="8" t="inlineStr"/>
      <c r="L10" s="9" t="inlineStr"/>
      <c r="M10" s="8" t="inlineStr"/>
      <c r="N10" s="9" t="inlineStr">
        <is>
          <t>Prior firms include Arkadios Capital, Gulf Coast Bank and LPL Financial, consistent with the 2024 program move.</t>
        </is>
      </c>
      <c r="O10" s="8" t="inlineStr">
        <is>
          <t>High</t>
        </is>
      </c>
    </row>
    <row r="11">
      <c r="A11" s="8" t="inlineStr">
        <is>
          <t>Robyn Sherman</t>
        </is>
      </c>
      <c r="B11" s="8" t="inlineStr">
        <is>
          <t>Robyn Sherman</t>
        </is>
      </c>
      <c r="C11" s="8" t="inlineStr">
        <is>
          <t>Financial Advisor</t>
        </is>
      </c>
      <c r="D11" s="8" t="inlineStr">
        <is>
          <t>5696999</t>
        </is>
      </c>
      <c r="E11" s="8" t="inlineStr">
        <is>
          <t>Arkadios Capital (CRD 282710)</t>
        </is>
      </c>
      <c r="F11" s="8" t="inlineStr">
        <is>
          <t>Arkadios Wealth Advisors</t>
        </is>
      </c>
      <c r="G11" s="8" t="inlineStr">
        <is>
          <t>Not confirmed. Arkadios clearing relationship did not surface. Ask on the call.</t>
        </is>
      </c>
      <c r="H11" s="9" t="inlineStr">
        <is>
          <t>Gulf Coast Bank &amp; Trust</t>
        </is>
      </c>
      <c r="I11" s="8" t="inlineStr">
        <is>
          <t>Slidell</t>
        </is>
      </c>
      <c r="J11" s="8" t="inlineStr"/>
      <c r="K11" s="8" t="inlineStr"/>
      <c r="L11" s="9" t="inlineStr"/>
      <c r="M11" s="8" t="inlineStr"/>
      <c r="N11" s="9" t="inlineStr"/>
      <c r="O11" s="8" t="inlineStr">
        <is>
          <t>Moderate</t>
        </is>
      </c>
    </row>
    <row r="12">
      <c r="A12" s="8" t="inlineStr">
        <is>
          <t>Nicholas (surname not found)</t>
        </is>
      </c>
      <c r="B12" s="8" t="inlineStr"/>
      <c r="C12" s="8" t="inlineStr">
        <is>
          <t>Trust Administrator</t>
        </is>
      </c>
      <c r="D12" s="8" t="inlineStr"/>
      <c r="E12" s="8" t="inlineStr"/>
      <c r="F12" s="8" t="inlineStr"/>
      <c r="G12" s="8" t="inlineStr">
        <is>
          <t>In-house trust department</t>
        </is>
      </c>
      <c r="H12" s="9" t="inlineStr">
        <is>
          <t>Gulf Coast Bank &amp; Trust</t>
        </is>
      </c>
      <c r="I12" s="8" t="inlineStr">
        <is>
          <t>New Orleans</t>
        </is>
      </c>
      <c r="J12" s="8" t="inlineStr">
        <is>
          <t>1-800-223-2060</t>
        </is>
      </c>
      <c r="K12" s="8" t="inlineStr"/>
      <c r="L12" s="9" t="inlineStr"/>
      <c r="M12" s="8" t="inlineStr">
        <is>
          <t>Joined 2023</t>
        </is>
      </c>
      <c r="N12" s="9" t="inlineStr">
        <is>
          <t>Trust side, not the brokerage program.</t>
        </is>
      </c>
      <c r="O12" s="8" t="inlineStr">
        <is>
          <t>Low</t>
        </is>
      </c>
    </row>
    <row r="13">
      <c r="A13" s="8" t="inlineStr">
        <is>
          <t>Brandy (surname not found)</t>
        </is>
      </c>
      <c r="B13" s="8" t="inlineStr"/>
      <c r="C13" s="8" t="inlineStr">
        <is>
          <t>Trust team</t>
        </is>
      </c>
      <c r="D13" s="8" t="inlineStr"/>
      <c r="E13" s="8" t="inlineStr"/>
      <c r="F13" s="8" t="inlineStr"/>
      <c r="G13" s="8" t="inlineStr">
        <is>
          <t>In-house trust department</t>
        </is>
      </c>
      <c r="H13" s="9" t="inlineStr">
        <is>
          <t>Gulf Coast Bank &amp; Trust</t>
        </is>
      </c>
      <c r="I13" s="8" t="inlineStr">
        <is>
          <t>New Orleans</t>
        </is>
      </c>
      <c r="J13" s="8" t="inlineStr">
        <is>
          <t>1-800-223-2060</t>
        </is>
      </c>
      <c r="K13" s="8" t="inlineStr"/>
      <c r="L13" s="9" t="inlineStr"/>
      <c r="M13" s="8" t="inlineStr">
        <is>
          <t>Since 2022</t>
        </is>
      </c>
      <c r="N13" s="9" t="inlineStr">
        <is>
          <t>Trust side, not the brokerage program.</t>
        </is>
      </c>
      <c r="O13" s="8" t="inlineStr">
        <is>
          <t>Low</t>
        </is>
      </c>
    </row>
    <row r="15">
      <c r="A15" s="5" t="inlineStr">
        <is>
          <t>Advisors listed on this tab:</t>
        </is>
      </c>
      <c r="D15" s="5">
        <f>COUNTA(A5:A13)</f>
        <v/>
      </c>
    </row>
    <row r="17" ht="28" customHeight="1">
      <c r="A17" s="11" t="inlineStr">
        <is>
          <t>NAME COLLISION WARNING: a completely unrelated team at UBS also operates as 'Gulf Coast Wealth Management' with New Orleans and Lafayette pages. Search results mix the two constantly. The bank program is the Arkadios one.</t>
        </is>
      </c>
    </row>
  </sheetData>
  <mergeCells count="1">
    <mergeCell ref="A17:O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7"/>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Fidelity Bank (New Orleans) — via Stratos Wealth Partners</t>
        </is>
      </c>
    </row>
    <row r="2">
      <c r="A2" s="2" t="inlineStr">
        <is>
          <t>Fidelity Bank does not employ advisors. It partners with Stratos Wealth Partners New Orleans, an independent firm. Bank-specific landing page at stratosneworleans.com/fidelity.</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Names not found</t>
        </is>
      </c>
      <c r="B5" s="8" t="inlineStr"/>
      <c r="C5" s="8" t="inlineStr">
        <is>
          <t>Stratos Wealth Partners New Orleans team</t>
        </is>
      </c>
      <c r="D5" s="8" t="inlineStr"/>
      <c r="E5" s="8" t="inlineStr">
        <is>
          <t>Stratos Wealth Partners</t>
        </is>
      </c>
      <c r="F5" s="8" t="inlineStr">
        <is>
          <t>Stratos Wealth Advisors LLC (SEC RIA)</t>
        </is>
      </c>
      <c r="G5" s="8" t="inlineStr">
        <is>
          <t>LPL-affiliated hybrid RIA nationally. NOT confirmed for this office.</t>
        </is>
      </c>
      <c r="H5" s="9" t="inlineStr">
        <is>
          <t>New Orleans</t>
        </is>
      </c>
      <c r="I5" s="8" t="inlineStr">
        <is>
          <t>New Orleans</t>
        </is>
      </c>
      <c r="J5" s="8" t="inlineStr"/>
      <c r="K5" s="8" t="inlineStr"/>
      <c r="L5" s="9" t="inlineStr"/>
      <c r="M5" s="8" t="inlineStr">
        <is>
          <t>Combined 125 yrs across the team</t>
        </is>
      </c>
      <c r="N5" s="9" t="inlineStr">
        <is>
          <t>Stratos describes the group as local investment professionals with a combined 125 years of experience. No individual names surfaced. Services include financial planning, investment advisory, retirement, estate and corporate.</t>
        </is>
      </c>
      <c r="O5" s="8" t="inlineStr">
        <is>
          <t>Low</t>
        </is>
      </c>
    </row>
    <row r="7">
      <c r="A7" s="5" t="inlineStr">
        <is>
          <t>Advisors listed on this tab:</t>
        </is>
      </c>
      <c r="D7" s="5">
        <f>COUNTA(A5:A5)</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First National Bank of Louisiana (Crowley) — First Investment Services</t>
        </is>
      </c>
    </row>
    <row r="2">
      <c r="A2" s="2" t="inlineStr">
        <is>
          <t>CORRECTION: this is NOT a bank-owned Ameriprise program. First Investment Services LLC is Jeremy Patin's own firm, operating from the bank's address since 2021, on the KESTRA platform.</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Jeremy Patin</t>
        </is>
      </c>
      <c r="B5" s="8" t="inlineStr">
        <is>
          <t>Jeremy Chad Patin</t>
        </is>
      </c>
      <c r="C5" s="8" t="inlineStr">
        <is>
          <t>Owner / Advisor</t>
        </is>
      </c>
      <c r="D5" s="8" t="inlineStr">
        <is>
          <t>4174962</t>
        </is>
      </c>
      <c r="E5" s="8" t="inlineStr">
        <is>
          <t>Kestra Investment Services</t>
        </is>
      </c>
      <c r="F5" s="8" t="inlineStr">
        <is>
          <t>Kestra Advisory Services LLC</t>
        </is>
      </c>
      <c r="G5" s="8" t="inlineStr">
        <is>
          <t>NFS / Fidelity believed. NOT confirmed.</t>
        </is>
      </c>
      <c r="H5" s="9" t="inlineStr">
        <is>
          <t>128 N Parkerson Ave</t>
        </is>
      </c>
      <c r="I5" s="8" t="inlineStr">
        <is>
          <t>Crowley, LA 70526</t>
        </is>
      </c>
      <c r="J5" s="8" t="inlineStr">
        <is>
          <t>337-250-xxxx (full number not surfaced)</t>
        </is>
      </c>
      <c r="K5" s="8" t="inlineStr"/>
      <c r="L5" s="9" t="inlineStr">
        <is>
          <t>Series 6, 7, 63, 66; Life, Accident &amp; Health; Variable Annuity</t>
        </is>
      </c>
      <c r="M5" s="8" t="inlineStr">
        <is>
          <t>20+ yrs</t>
        </is>
      </c>
      <c r="N5" s="9" t="inlineStr">
        <is>
          <t>Firm activity start date 09/15/2021. Investment management, insurance, estate planning.</t>
        </is>
      </c>
      <c r="O5" s="8" t="inlineStr">
        <is>
          <t>High</t>
        </is>
      </c>
    </row>
    <row r="6">
      <c r="A6" s="8" t="inlineStr">
        <is>
          <t>Michael Fontenot</t>
        </is>
      </c>
      <c r="B6" s="8" t="inlineStr"/>
      <c r="C6" s="8" t="inlineStr">
        <is>
          <t>Advisor (unconfirmed)</t>
        </is>
      </c>
      <c r="D6" s="8" t="inlineStr"/>
      <c r="E6" s="8" t="inlineStr"/>
      <c r="F6" s="8" t="inlineStr"/>
      <c r="G6" s="8" t="inlineStr"/>
      <c r="H6" s="9" t="inlineStr">
        <is>
          <t>128 N Parkerson Ave</t>
        </is>
      </c>
      <c r="I6" s="8" t="inlineStr">
        <is>
          <t>Crowley, LA 70526</t>
        </is>
      </c>
      <c r="J6" s="8" t="inlineStr"/>
      <c r="K6" s="8" t="inlineStr"/>
      <c r="L6" s="9" t="inlineStr"/>
      <c r="M6" s="8" t="inlineStr"/>
      <c r="N6" s="9" t="inlineStr">
        <is>
          <t>Appeared in an earlier directory pass tied to this program but did not surface in the BrokerCheck pass. Treat as unconfirmed.</t>
        </is>
      </c>
      <c r="O6" s="8" t="inlineStr">
        <is>
          <t>Low</t>
        </is>
      </c>
    </row>
    <row r="8">
      <c r="A8" s="5" t="inlineStr">
        <is>
          <t>Advisors listed on this tab:</t>
        </is>
      </c>
      <c r="D8" s="5">
        <f>COUNTA(A5:A6)</f>
        <v/>
      </c>
    </row>
    <row r="10" ht="28" customHeight="1">
      <c r="A10" s="11" t="inlineStr">
        <is>
          <t>The earlier draft of this research listed this program as possibly Ameriprise. That was wrong. The registration is Kestra.</t>
        </is>
      </c>
    </row>
  </sheetData>
  <mergeCells count="1">
    <mergeCell ref="A10:O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JD Bank (Jeff Davis Bank) — in-house Trust Department</t>
        </is>
      </c>
    </row>
    <row r="2">
      <c r="A2" s="2" t="inlineStr">
        <is>
          <t>Trust department running since 1947. PO Box 670, Jennings LA 70546. Trust line 337-246-5370 (also published as 337-246-5364). Fiduciary buyer, not a brokerage program.</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Mary Alice LeBlanc</t>
        </is>
      </c>
      <c r="B5" s="8" t="inlineStr"/>
      <c r="C5" s="8" t="inlineStr">
        <is>
          <t>Vice President &amp; Senior Trust Officer</t>
        </is>
      </c>
      <c r="D5" s="8" t="inlineStr"/>
      <c r="E5" s="8" t="inlineStr">
        <is>
          <t>Not a registered rep</t>
        </is>
      </c>
      <c r="F5" s="8" t="inlineStr">
        <is>
          <t>In-house trust powers</t>
        </is>
      </c>
      <c r="G5" s="8" t="inlineStr">
        <is>
          <t>Bank fiduciary; no external clearing</t>
        </is>
      </c>
      <c r="H5" s="9" t="inlineStr">
        <is>
          <t>PO Box 670</t>
        </is>
      </c>
      <c r="I5" s="8" t="inlineStr">
        <is>
          <t>Jennings, LA 70546</t>
        </is>
      </c>
      <c r="J5" s="8" t="inlineStr">
        <is>
          <t>337-246-5370</t>
        </is>
      </c>
      <c r="K5" s="8" t="inlineStr"/>
      <c r="L5" s="9" t="inlineStr"/>
      <c r="M5" s="8" t="inlineStr"/>
      <c r="N5" s="9" t="inlineStr"/>
      <c r="O5" s="8" t="inlineStr">
        <is>
          <t>Moderate</t>
        </is>
      </c>
    </row>
    <row r="6">
      <c r="A6" s="8" t="inlineStr">
        <is>
          <t>Phillip Jennings</t>
        </is>
      </c>
      <c r="B6" s="8" t="inlineStr"/>
      <c r="C6" s="8" t="inlineStr">
        <is>
          <t>EVP, Senior Trust Officer</t>
        </is>
      </c>
      <c r="D6" s="8" t="inlineStr"/>
      <c r="E6" s="8" t="inlineStr">
        <is>
          <t>Not a registered rep</t>
        </is>
      </c>
      <c r="F6" s="8" t="inlineStr">
        <is>
          <t>In-house trust powers</t>
        </is>
      </c>
      <c r="G6" s="8" t="inlineStr">
        <is>
          <t>Bank fiduciary; no external clearing</t>
        </is>
      </c>
      <c r="H6" s="9" t="inlineStr"/>
      <c r="I6" s="8" t="inlineStr">
        <is>
          <t>Jennings, LA</t>
        </is>
      </c>
      <c r="J6" s="8" t="inlineStr">
        <is>
          <t>337-246-5370</t>
        </is>
      </c>
      <c r="K6" s="8" t="inlineStr"/>
      <c r="L6" s="9" t="inlineStr"/>
      <c r="M6" s="8" t="inlineStr"/>
      <c r="N6" s="9" t="inlineStr">
        <is>
          <t>From LinkedIn. The surname matching the town name is a coincidence worth verifying.</t>
        </is>
      </c>
      <c r="O6" s="8" t="inlineStr">
        <is>
          <t>Low</t>
        </is>
      </c>
    </row>
    <row r="8">
      <c r="A8" s="5" t="inlineStr">
        <is>
          <t>Advisors listed on this tab:</t>
        </is>
      </c>
      <c r="D8" s="5">
        <f>COUNTA(A5:A6)</f>
        <v/>
      </c>
    </row>
    <row r="10" ht="28" customHeight="1">
      <c r="A10" s="11" t="inlineStr">
        <is>
          <t>Services: personal trusts, estates, IRA management and rollovers, and trustee for 401(k) and defined benefit plans. Discretionary fiduciary money, committee-driven, slower to move, larger tickets.</t>
        </is>
      </c>
    </row>
  </sheetData>
  <mergeCells count="1">
    <mergeCell ref="A10:O1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15"/>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Merrill Lynch Wealth Management — Louisiana offices</t>
        </is>
      </c>
    </row>
    <row r="2">
      <c r="A2" s="2" t="inlineStr">
        <is>
          <t>No Bank of America financial centers open in Louisiana yet; the first New Orleans center is targeted for 2027. Merrill offices operate independently of that.</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Sara Mayeux</t>
        </is>
      </c>
      <c r="B5" s="8" t="inlineStr"/>
      <c r="C5" s="8" t="inlineStr">
        <is>
          <t>Market Executive, Louisiana &amp; Mississippi</t>
        </is>
      </c>
      <c r="D5" s="8" t="inlineStr"/>
      <c r="E5" s="8" t="inlineStr">
        <is>
          <t>Merrill Lynch, Pierce, Fenner &amp; Smith</t>
        </is>
      </c>
      <c r="F5" s="8" t="inlineStr">
        <is>
          <t>Merrill Lynch Investment Advisory Program</t>
        </is>
      </c>
      <c r="G5" s="8" t="inlineStr">
        <is>
          <t>Self-clearing (BofA Securities / Merrill)</t>
        </is>
      </c>
      <c r="H5" s="9" t="inlineStr">
        <is>
          <t>New Orleans</t>
        </is>
      </c>
      <c r="I5" s="8" t="inlineStr">
        <is>
          <t>New Orleans, LA 70130</t>
        </is>
      </c>
      <c r="J5" s="8" t="inlineStr"/>
      <c r="K5" s="8" t="inlineStr"/>
      <c r="L5" s="9" t="inlineStr"/>
      <c r="M5" s="8" t="inlineStr"/>
      <c r="N5" s="9" t="inlineStr">
        <is>
          <t>Top of the Louisiana org chart for Merrill.</t>
        </is>
      </c>
      <c r="O5" s="8" t="inlineStr">
        <is>
          <t>High</t>
        </is>
      </c>
    </row>
    <row r="6">
      <c r="A6" s="8" t="inlineStr">
        <is>
          <t>Stephanie Evans</t>
        </is>
      </c>
      <c r="B6" s="8" t="inlineStr"/>
      <c r="C6" s="8" t="inlineStr">
        <is>
          <t>VP, Market Client Relationship Manager</t>
        </is>
      </c>
      <c r="D6" s="8" t="inlineStr"/>
      <c r="E6" s="8" t="inlineStr">
        <is>
          <t>Merrill Lynch, Pierce, Fenner &amp; Smith</t>
        </is>
      </c>
      <c r="F6" s="8" t="inlineStr"/>
      <c r="G6" s="8" t="inlineStr">
        <is>
          <t>Self-clearing (BofA Securities / Merrill)</t>
        </is>
      </c>
      <c r="H6" s="9" t="inlineStr">
        <is>
          <t>Baton Rouge</t>
        </is>
      </c>
      <c r="I6" s="8" t="inlineStr">
        <is>
          <t>Baton Rouge</t>
        </is>
      </c>
      <c r="J6" s="8" t="inlineStr"/>
      <c r="K6" s="8" t="inlineStr"/>
      <c r="L6" s="9" t="inlineStr"/>
      <c r="M6" s="8" t="inlineStr"/>
      <c r="N6" s="9" t="inlineStr"/>
      <c r="O6" s="8" t="inlineStr">
        <is>
          <t>High</t>
        </is>
      </c>
    </row>
    <row r="7">
      <c r="A7" s="8" t="inlineStr">
        <is>
          <t>Jonathan Matessino</t>
        </is>
      </c>
      <c r="B7" s="8" t="inlineStr"/>
      <c r="C7" s="8" t="inlineStr">
        <is>
          <t>President, New Orleans &amp; Baton Rouge (Bank of America)</t>
        </is>
      </c>
      <c r="D7" s="8" t="inlineStr"/>
      <c r="E7" s="8" t="inlineStr"/>
      <c r="F7" s="8" t="inlineStr"/>
      <c r="G7" s="8" t="inlineStr"/>
      <c r="H7" s="9" t="inlineStr">
        <is>
          <t>New Orleans / Baton Rouge</t>
        </is>
      </c>
      <c r="I7" s="8" t="inlineStr">
        <is>
          <t>New Orleans</t>
        </is>
      </c>
      <c r="J7" s="8" t="inlineStr"/>
      <c r="K7" s="8" t="inlineStr"/>
      <c r="L7" s="9" t="inlineStr"/>
      <c r="M7" s="8" t="inlineStr">
        <is>
          <t>Since 2023</t>
        </is>
      </c>
      <c r="N7" s="9" t="inlineStr">
        <is>
          <t>Bank side, not Merrill advisory.</t>
        </is>
      </c>
      <c r="O7" s="8" t="inlineStr">
        <is>
          <t>High</t>
        </is>
      </c>
    </row>
    <row r="8">
      <c r="A8" s="8" t="inlineStr">
        <is>
          <t>Donald Newton</t>
        </is>
      </c>
      <c r="B8" s="8" t="inlineStr"/>
      <c r="C8" s="8" t="inlineStr">
        <is>
          <t>Financial Advisor</t>
        </is>
      </c>
      <c r="D8" s="8" t="inlineStr"/>
      <c r="E8" s="8" t="inlineStr">
        <is>
          <t>Merrill Lynch, Pierce, Fenner &amp; Smith</t>
        </is>
      </c>
      <c r="F8" s="8" t="inlineStr">
        <is>
          <t>Merrill Lynch Investment Advisory Program</t>
        </is>
      </c>
      <c r="G8" s="8" t="inlineStr">
        <is>
          <t>Self-clearing (BofA Securities / Merrill)</t>
        </is>
      </c>
      <c r="H8" s="9" t="inlineStr">
        <is>
          <t>Baton Rouge</t>
        </is>
      </c>
      <c r="I8" s="8" t="inlineStr">
        <is>
          <t>Baton Rouge, LA 70802</t>
        </is>
      </c>
      <c r="J8" s="8" t="inlineStr"/>
      <c r="K8" s="8" t="inlineStr"/>
      <c r="L8" s="9" t="inlineStr"/>
      <c r="M8" s="8" t="inlineStr"/>
      <c r="N8" s="9" t="inlineStr">
        <is>
          <t>Individual advisor page at advisor.ml.com/sites/la/baton-rougela/donald.newton.</t>
        </is>
      </c>
      <c r="O8" s="8" t="inlineStr">
        <is>
          <t>High</t>
        </is>
      </c>
    </row>
    <row r="9">
      <c r="A9" s="8" t="inlineStr">
        <is>
          <t>McClendon Wealth Management</t>
        </is>
      </c>
      <c r="B9" s="8" t="inlineStr"/>
      <c r="C9" s="8" t="inlineStr">
        <is>
          <t>Merrill advisory team</t>
        </is>
      </c>
      <c r="D9" s="8" t="inlineStr"/>
      <c r="E9" s="8" t="inlineStr">
        <is>
          <t>Merrill Lynch, Pierce, Fenner &amp; Smith</t>
        </is>
      </c>
      <c r="F9" s="8" t="inlineStr">
        <is>
          <t>Merrill Lynch Investment Advisory Program</t>
        </is>
      </c>
      <c r="G9" s="8" t="inlineStr">
        <is>
          <t>Self-clearing (BofA Securities / Merrill)</t>
        </is>
      </c>
      <c r="H9" s="9" t="inlineStr">
        <is>
          <t>Baton Rouge</t>
        </is>
      </c>
      <c r="I9" s="8" t="inlineStr">
        <is>
          <t>Baton Rouge, LA 70802</t>
        </is>
      </c>
      <c r="J9" s="8" t="inlineStr"/>
      <c r="K9" s="8" t="inlineStr"/>
      <c r="L9" s="9" t="inlineStr"/>
      <c r="M9" s="8" t="inlineStr"/>
      <c r="N9" s="9" t="inlineStr">
        <is>
          <t>Team page at advisor.ml.com/sites/la/baton-rouge-la/mcclendonwealthmanagement.</t>
        </is>
      </c>
      <c r="O9" s="8" t="inlineStr">
        <is>
          <t>High</t>
        </is>
      </c>
    </row>
    <row r="10">
      <c r="A10" s="8" t="inlineStr">
        <is>
          <t>Piland Ellis Rothrock Bevinetto</t>
        </is>
      </c>
      <c r="B10" s="8" t="inlineStr"/>
      <c r="C10" s="8" t="inlineStr">
        <is>
          <t>Merrill advisory team</t>
        </is>
      </c>
      <c r="D10" s="8" t="inlineStr"/>
      <c r="E10" s="8" t="inlineStr">
        <is>
          <t>Merrill Lynch, Pierce, Fenner &amp; Smith</t>
        </is>
      </c>
      <c r="F10" s="8" t="inlineStr">
        <is>
          <t>Merrill Lynch Investment Advisory Program</t>
        </is>
      </c>
      <c r="G10" s="8" t="inlineStr">
        <is>
          <t>Self-clearing (BofA Securities / Merrill)</t>
        </is>
      </c>
      <c r="H10" s="9" t="inlineStr">
        <is>
          <t>Baton Rouge</t>
        </is>
      </c>
      <c r="I10" s="8" t="inlineStr">
        <is>
          <t>Baton Rouge</t>
        </is>
      </c>
      <c r="J10" s="8" t="inlineStr"/>
      <c r="K10" s="8" t="inlineStr"/>
      <c r="L10" s="9" t="inlineStr"/>
      <c r="M10" s="8" t="inlineStr"/>
      <c r="N10" s="9" t="inlineStr">
        <is>
          <t>Four-name team. Individual member records not pulled.</t>
        </is>
      </c>
      <c r="O10" s="8" t="inlineStr">
        <is>
          <t>High</t>
        </is>
      </c>
    </row>
    <row r="11">
      <c r="A11" s="8" t="inlineStr">
        <is>
          <t>Salvadore "Sal" Miletello</t>
        </is>
      </c>
      <c r="B11" s="8" t="inlineStr"/>
      <c r="C11" s="8" t="inlineStr">
        <is>
          <t>Financial Advisor, SSM Financial Group</t>
        </is>
      </c>
      <c r="D11" s="8" t="inlineStr"/>
      <c r="E11" s="8" t="inlineStr">
        <is>
          <t>Merrill Lynch, Pierce, Fenner &amp; Smith</t>
        </is>
      </c>
      <c r="F11" s="8" t="inlineStr">
        <is>
          <t>Merrill Lynch Investment Advisory Program</t>
        </is>
      </c>
      <c r="G11" s="8" t="inlineStr">
        <is>
          <t>Self-clearing (BofA Securities / Merrill)</t>
        </is>
      </c>
      <c r="H11" s="9" t="inlineStr">
        <is>
          <t>Shreveport</t>
        </is>
      </c>
      <c r="I11" s="8" t="inlineStr">
        <is>
          <t>Shreveport, LA 71101</t>
        </is>
      </c>
      <c r="J11" s="8" t="inlineStr"/>
      <c r="K11" s="8" t="inlineStr"/>
      <c r="L11" s="9" t="inlineStr"/>
      <c r="M11" s="8" t="inlineStr"/>
      <c r="N11" s="9" t="inlineStr"/>
      <c r="O11" s="8" t="inlineStr">
        <is>
          <t>High</t>
        </is>
      </c>
    </row>
    <row r="13">
      <c r="A13" s="5" t="inlineStr">
        <is>
          <t>Advisors listed on this tab:</t>
        </is>
      </c>
      <c r="D13" s="5">
        <f>COUNTA(A5:A11)</f>
        <v/>
      </c>
    </row>
    <row r="15" ht="28" customHeight="1">
      <c r="A15" s="11" t="inlineStr">
        <is>
          <t>The Baton Rouge 70806 office is moving to 2370 Towne Center Blvd in the second half of 2027.</t>
        </is>
      </c>
    </row>
  </sheetData>
  <mergeCells count="1">
    <mergeCell ref="A15:O1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Wells Fargo Advisors — Louisiana offices</t>
        </is>
      </c>
    </row>
    <row r="2">
      <c r="A2" s="2" t="inlineStr">
        <is>
          <t>Wells Fargo has NO retail bank branches in Louisiana. These are brokerage offices only, plus middle-market banking at 701 Poydras St, New Orleans.</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Tony Boagni</t>
        </is>
      </c>
      <c r="B5" s="8" t="inlineStr">
        <is>
          <t>Michael Boagni (one page lists this)</t>
        </is>
      </c>
      <c r="C5" s="8" t="inlineStr">
        <is>
          <t>SVP, Investment Officer, PIM Portfolio Manager</t>
        </is>
      </c>
      <c r="D5" s="8" t="inlineStr"/>
      <c r="E5" s="8" t="inlineStr">
        <is>
          <t>Wells Fargo Clearing Services LLC</t>
        </is>
      </c>
      <c r="F5" s="8" t="inlineStr">
        <is>
          <t>Wells Fargo Advisors</t>
        </is>
      </c>
      <c r="G5" s="8" t="inlineStr">
        <is>
          <t>Self-clearing (First Clearing / WFCS)</t>
        </is>
      </c>
      <c r="H5" s="9" t="inlineStr">
        <is>
          <t>7054 Jefferson Hwy, Suite 200</t>
        </is>
      </c>
      <c r="I5" s="8" t="inlineStr">
        <is>
          <t>Baton Rouge, LA 70806</t>
        </is>
      </c>
      <c r="J5" s="8" t="inlineStr">
        <is>
          <t>225-928-2900 / 800-284-6412 (fax 225-924-4547)</t>
        </is>
      </c>
      <c r="K5" s="8" t="inlineStr">
        <is>
          <t>tony.boagni@wellsfargoadvisors.com</t>
        </is>
      </c>
      <c r="L5" s="9" t="inlineStr"/>
      <c r="M5" s="8" t="inlineStr"/>
      <c r="N5" s="9" t="inlineStr">
        <is>
          <t>PIM Portfolio Manager designation means he runs discretionary portfolios, so he selects the models himself. Name discrepancy: profile URL and email say Tony, one page header says Michael.</t>
        </is>
      </c>
      <c r="O5" s="8" t="inlineStr">
        <is>
          <t>High</t>
        </is>
      </c>
    </row>
    <row r="6">
      <c r="A6" s="8" t="inlineStr">
        <is>
          <t>Longbridge Wealth Management</t>
        </is>
      </c>
      <c r="B6" s="8" t="inlineStr"/>
      <c r="C6" s="8" t="inlineStr">
        <is>
          <t>Advisory team</t>
        </is>
      </c>
      <c r="D6" s="8" t="inlineStr"/>
      <c r="E6" s="8" t="inlineStr">
        <is>
          <t>Wells Fargo Advisors Financial Network (FiNet)</t>
        </is>
      </c>
      <c r="F6" s="8" t="inlineStr"/>
      <c r="G6" s="8" t="inlineStr">
        <is>
          <t>Self-clearing (First Clearing / WFCS)</t>
        </is>
      </c>
      <c r="H6" s="9" t="inlineStr">
        <is>
          <t>Baton Rouge</t>
        </is>
      </c>
      <c r="I6" s="8" t="inlineStr">
        <is>
          <t>Baton Rouge</t>
        </is>
      </c>
      <c r="J6" s="8" t="inlineStr"/>
      <c r="K6" s="8" t="inlineStr"/>
      <c r="L6" s="9" t="inlineStr"/>
      <c r="M6" s="8" t="inlineStr"/>
      <c r="N6" s="9" t="inlineStr">
        <is>
          <t>FiNet is the independent channel, so this team is an independent practice, not employee-channel.</t>
        </is>
      </c>
      <c r="O6" s="8" t="inlineStr">
        <is>
          <t>High</t>
        </is>
      </c>
    </row>
    <row r="8">
      <c r="A8" s="5" t="inlineStr">
        <is>
          <t>Advisors listed on this tab:</t>
        </is>
      </c>
      <c r="D8" s="5">
        <f>COUNTA(A5:A6)</f>
        <v/>
      </c>
    </row>
    <row r="10" ht="28" customHeight="1">
      <c r="A10" s="11" t="inlineStr">
        <is>
          <t>Other Louisiana offices with no names surfaced: New Orleans, and Shreveport at 8555 Fern Ave.</t>
        </is>
      </c>
    </row>
  </sheetData>
  <mergeCells count="1">
    <mergeCell ref="A10:O10"/>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J.P. Morgan — Private Bank and Wealth Management</t>
        </is>
      </c>
    </row>
    <row r="2">
      <c r="A2" s="2" t="inlineStr">
        <is>
          <t>Chase branches statewide. Private Bank offices in New Orleans (201 St. Charles Ave) and Baton Rouge.</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Katie LeGardeur</t>
        </is>
      </c>
      <c r="B5" s="8" t="inlineStr"/>
      <c r="C5" s="8" t="inlineStr">
        <is>
          <t>Managing Director, Head of Private Banking for Louisiana</t>
        </is>
      </c>
      <c r="D5" s="8" t="inlineStr"/>
      <c r="E5" s="8" t="inlineStr">
        <is>
          <t>J.P. Morgan Securities LLC</t>
        </is>
      </c>
      <c r="F5" s="8" t="inlineStr">
        <is>
          <t>J.P. Morgan Private Bank</t>
        </is>
      </c>
      <c r="G5" s="8" t="inlineStr">
        <is>
          <t>Self-clearing (J.P. Morgan Securities)</t>
        </is>
      </c>
      <c r="H5" s="9" t="inlineStr">
        <is>
          <t>201 St. Charles Ave</t>
        </is>
      </c>
      <c r="I5" s="8" t="inlineStr">
        <is>
          <t>New Orleans</t>
        </is>
      </c>
      <c r="J5" s="8" t="inlineStr"/>
      <c r="K5" s="8" t="inlineStr"/>
      <c r="L5" s="9" t="inlineStr"/>
      <c r="M5" s="8" t="inlineStr"/>
      <c r="N5" s="9" t="inlineStr">
        <is>
          <t>Most senior J.P. Morgan wealth person in the state.</t>
        </is>
      </c>
      <c r="O5" s="8" t="inlineStr">
        <is>
          <t>High</t>
        </is>
      </c>
    </row>
    <row r="6">
      <c r="A6" s="8" t="inlineStr">
        <is>
          <t>Steven Morgan</t>
        </is>
      </c>
      <c r="B6" s="8" t="inlineStr"/>
      <c r="C6" s="8" t="inlineStr">
        <is>
          <t>Executive Director, Market Team Lead</t>
        </is>
      </c>
      <c r="D6" s="8" t="inlineStr"/>
      <c r="E6" s="8" t="inlineStr">
        <is>
          <t>J.P. Morgan Securities LLC</t>
        </is>
      </c>
      <c r="F6" s="8" t="inlineStr">
        <is>
          <t>J.P. Morgan Private Bank</t>
        </is>
      </c>
      <c r="G6" s="8" t="inlineStr">
        <is>
          <t>Self-clearing (J.P. Morgan Securities)</t>
        </is>
      </c>
      <c r="H6" s="9" t="inlineStr">
        <is>
          <t>Baton Rouge</t>
        </is>
      </c>
      <c r="I6" s="8" t="inlineStr">
        <is>
          <t>Baton Rouge</t>
        </is>
      </c>
      <c r="J6" s="8" t="inlineStr"/>
      <c r="K6" s="8" t="inlineStr"/>
      <c r="L6" s="9" t="inlineStr"/>
      <c r="M6" s="8" t="inlineStr"/>
      <c r="N6" s="9" t="inlineStr">
        <is>
          <t>Covers Louisiana and Mississippi.</t>
        </is>
      </c>
      <c r="O6" s="8" t="inlineStr">
        <is>
          <t>High</t>
        </is>
      </c>
    </row>
    <row r="8">
      <c r="A8" s="5" t="inlineStr">
        <is>
          <t>Advisors listed on this tab:</t>
        </is>
      </c>
      <c r="D8" s="5">
        <f>COUNTA(A5:A6)</f>
        <v/>
      </c>
    </row>
    <row r="10" ht="28" customHeight="1">
      <c r="A10" s="11" t="inlineStr">
        <is>
          <t>J.P. Morgan Wealth Management also staffs Chase branches, including 9700 Bluebonnet Blvd in Baton Rouge. No branch advisor names surfaced. Directory at jpmorganwealthmanagement.chase.com/advisor/la.</t>
        </is>
      </c>
    </row>
  </sheetData>
  <mergeCells count="1">
    <mergeCell ref="A10:O1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9"/>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10" customWidth="1" min="4" max="4"/>
    <col width="28" customWidth="1" min="5" max="5"/>
    <col width="28" customWidth="1" min="6" max="6"/>
    <col width="26" customWidth="1" min="7" max="7"/>
    <col width="34" customWidth="1" min="8" max="8"/>
    <col width="16" customWidth="1" min="9" max="9"/>
    <col width="18" customWidth="1" min="10" max="10"/>
    <col width="32" customWidth="1" min="11" max="11"/>
    <col width="22" customWidth="1" min="12" max="12"/>
    <col width="18" customWidth="1" min="13" max="13"/>
    <col width="54" customWidth="1" min="14" max="14"/>
    <col width="12" customWidth="1" min="15" max="15"/>
  </cols>
  <sheetData>
    <row r="1">
      <c r="A1" s="12" t="inlineStr">
        <is>
          <t>Citizens National Bank (Bossier City) — STATUS DISPUTED</t>
        </is>
      </c>
    </row>
    <row r="2">
      <c r="A2" s="2" t="inlineStr">
        <is>
          <t>Do not work this until the attribution is settled.</t>
        </is>
      </c>
    </row>
    <row r="4" ht="30" customHeight="1">
      <c r="A4" s="13" t="inlineStr">
        <is>
          <t>Advisor / Contact</t>
        </is>
      </c>
      <c r="B4" s="13" t="inlineStr">
        <is>
          <t>Name on FINRA Record</t>
        </is>
      </c>
      <c r="C4" s="13" t="inlineStr">
        <is>
          <t>Title / Role</t>
        </is>
      </c>
      <c r="D4" s="13" t="inlineStr">
        <is>
          <t>CRD</t>
        </is>
      </c>
      <c r="E4" s="13" t="inlineStr">
        <is>
          <t>Broker-Dealer (registered)</t>
        </is>
      </c>
      <c r="F4" s="13" t="inlineStr">
        <is>
          <t>Advisory / RIA Entity</t>
        </is>
      </c>
      <c r="G4" s="13" t="inlineStr">
        <is>
          <t>Clearing &amp; Custody</t>
        </is>
      </c>
      <c r="H4" s="13" t="inlineStr">
        <is>
          <t>Office Address</t>
        </is>
      </c>
      <c r="I4" s="13" t="inlineStr">
        <is>
          <t>City</t>
        </is>
      </c>
      <c r="J4" s="13" t="inlineStr">
        <is>
          <t>Phone</t>
        </is>
      </c>
      <c r="K4" s="13" t="inlineStr">
        <is>
          <t>Email</t>
        </is>
      </c>
      <c r="L4" s="13" t="inlineStr">
        <is>
          <t>Licenses</t>
        </is>
      </c>
      <c r="M4" s="13" t="inlineStr">
        <is>
          <t>Experience</t>
        </is>
      </c>
      <c r="N4" s="13" t="inlineStr">
        <is>
          <t>Notes</t>
        </is>
      </c>
      <c r="O4" s="13" t="inlineStr">
        <is>
          <t>Confidence</t>
        </is>
      </c>
    </row>
    <row r="5">
      <c r="A5" s="8" t="inlineStr">
        <is>
          <t>No names found</t>
        </is>
      </c>
      <c r="B5" s="8" t="inlineStr"/>
      <c r="C5" s="8" t="inlineStr"/>
      <c r="D5" s="8" t="inlineStr"/>
      <c r="E5" s="8" t="inlineStr">
        <is>
          <t>Unconfirmed</t>
        </is>
      </c>
      <c r="F5" s="8" t="inlineStr">
        <is>
          <t>Unconfirmed</t>
        </is>
      </c>
      <c r="G5" s="8" t="inlineStr">
        <is>
          <t>Unconfirmed</t>
        </is>
      </c>
      <c r="H5" s="9" t="inlineStr">
        <is>
          <t>Bossier City</t>
        </is>
      </c>
      <c r="I5" s="8" t="inlineStr">
        <is>
          <t>Bossier City</t>
        </is>
      </c>
      <c r="J5" s="8" t="inlineStr"/>
      <c r="K5" s="8" t="inlineStr"/>
      <c r="L5" s="9" t="inlineStr"/>
      <c r="M5" s="8" t="inlineStr"/>
      <c r="N5" s="9" t="inlineStr">
        <is>
          <t>The CNB Wealth Management pages carrying a Raymond James affiliation describe a bank with 27 locations in MISSISSIPPI and advisors covering Meridian and Hattiesburg. That is Citizens National Bank of Meridian, a different institution. An earlier pass of this research attributed that program to Bossier City. The Bossier City bank's wealth offering is now unconfirmed.</t>
        </is>
      </c>
      <c r="O5" s="8" t="inlineStr">
        <is>
          <t>Low</t>
        </is>
      </c>
    </row>
    <row r="7">
      <c r="A7" s="5" t="inlineStr">
        <is>
          <t>Advisors listed on this tab:</t>
        </is>
      </c>
      <c r="D7" s="5">
        <f>COUNTA(A5:A5)</f>
        <v/>
      </c>
    </row>
    <row r="9" ht="28" customHeight="1">
      <c r="A9" s="11" t="inlineStr">
        <is>
          <t>ACTION: one call to Citizens National Bank in Bossier City settles whether they have a wealth program at all.</t>
        </is>
      </c>
    </row>
  </sheetData>
  <mergeCells count="1">
    <mergeCell ref="A9:O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40" customWidth="1" min="3" max="3"/>
    <col width="28" customWidth="1" min="4" max="4"/>
    <col width="70" customWidth="1" min="5" max="5"/>
    <col width="12" customWidth="1" min="6" max="6"/>
  </cols>
  <sheetData>
    <row r="1">
      <c r="A1" s="12" t="inlineStr">
        <is>
          <t>In-house Trust Departments — confirmed programs, no officer names found</t>
        </is>
      </c>
    </row>
    <row r="2">
      <c r="A2" s="2" t="inlineStr">
        <is>
          <t>Discretionary fiduciary buyers. Committee-driven, slower, larger tickets. Ask for the trust investment officer or the trust investment committee chair.</t>
        </is>
      </c>
    </row>
    <row r="4">
      <c r="A4" s="7" t="inlineStr">
        <is>
          <t>Bank</t>
        </is>
      </c>
      <c r="B4" s="7" t="inlineStr">
        <is>
          <t>City</t>
        </is>
      </c>
      <c r="C4" s="7" t="inlineStr">
        <is>
          <t>Program</t>
        </is>
      </c>
      <c r="D4" s="7" t="inlineStr">
        <is>
          <t>Main Contact</t>
        </is>
      </c>
      <c r="E4" s="7" t="inlineStr">
        <is>
          <t>What is confirmed</t>
        </is>
      </c>
      <c r="F4" s="7" t="inlineStr">
        <is>
          <t>Confidence</t>
        </is>
      </c>
    </row>
    <row r="5">
      <c r="A5" s="9" t="inlineStr">
        <is>
          <t>Hancock Whitney</t>
        </is>
      </c>
      <c r="B5" s="9" t="inlineStr">
        <is>
          <t>Statewide</t>
        </is>
      </c>
      <c r="C5" s="9" t="inlineStr">
        <is>
          <t>Trust &amp; Asset Management (in-house)</t>
        </is>
      </c>
      <c r="D5" s="9" t="inlineStr">
        <is>
          <t>800-385-4188</t>
        </is>
      </c>
      <c r="E5" s="9" t="inlineStr">
        <is>
          <t>Personal trust, corporate trust, custody, escrow, retirement plans. Absorbed Capital One's trust book in 2018, ~$10B AUA / ~$4B AUM, largely LA and East TX.</t>
        </is>
      </c>
      <c r="F5" s="9" t="inlineStr">
        <is>
          <t>High</t>
        </is>
      </c>
    </row>
    <row r="6">
      <c r="A6" s="9" t="inlineStr">
        <is>
          <t>Gulf Coast Bank &amp; Trust</t>
        </is>
      </c>
      <c r="B6" s="9" t="inlineStr">
        <is>
          <t>New Orleans</t>
        </is>
      </c>
      <c r="C6" s="9" t="inlineStr">
        <is>
          <t>In-house trust &amp; fiduciary services</t>
        </is>
      </c>
      <c r="D6" s="9" t="inlineStr">
        <is>
          <t>1-800-223-2060</t>
        </is>
      </c>
      <c r="E6" s="9" t="inlineStr">
        <is>
          <t>Separate from the Arkadios brokerage program. Staff: Nicholas (2023), Brandy (2022), surnames not found.</t>
        </is>
      </c>
      <c r="F6" s="9" t="inlineStr">
        <is>
          <t>High</t>
        </is>
      </c>
    </row>
    <row r="7">
      <c r="A7" s="9" t="inlineStr">
        <is>
          <t>JD Bank</t>
        </is>
      </c>
      <c r="B7" s="9" t="inlineStr">
        <is>
          <t>Jennings</t>
        </is>
      </c>
      <c r="C7" s="9" t="inlineStr">
        <is>
          <t>Trust Department since 1947</t>
        </is>
      </c>
      <c r="D7" s="9" t="inlineStr">
        <is>
          <t>337-246-5370</t>
        </is>
      </c>
      <c r="E7" s="9" t="inlineStr">
        <is>
          <t>Mary Alice LeBlanc, VP &amp; Senior Trust Officer. See the JD Bank tab.</t>
        </is>
      </c>
      <c r="F7" s="9" t="inlineStr">
        <is>
          <t>High</t>
        </is>
      </c>
    </row>
    <row r="8">
      <c r="A8" s="9" t="inlineStr">
        <is>
          <t>Washington State Bank</t>
        </is>
      </c>
      <c r="B8" s="9" t="inlineStr">
        <is>
          <t>Washington, LA</t>
        </is>
      </c>
      <c r="C8" s="9" t="inlineStr">
        <is>
          <t>Trust and Farm Management</t>
        </is>
      </c>
      <c r="D8" s="9" t="inlineStr">
        <is>
          <t>103 N Main St, Washington LA 70589</t>
        </is>
      </c>
      <c r="E8" s="9" t="inlineStr">
        <is>
          <t>Trusts, estate settlement, personal representative work. Explicitly prices below the large Louisiana trust institutions. No officer names found.</t>
        </is>
      </c>
      <c r="F8" s="9" t="inlineStr">
        <is>
          <t>High</t>
        </is>
      </c>
    </row>
    <row r="9">
      <c r="A9" s="9" t="inlineStr">
        <is>
          <t>First American Bank and Trust</t>
        </is>
      </c>
      <c r="B9" s="9" t="inlineStr">
        <is>
          <t>Vacherie</t>
        </is>
      </c>
      <c r="C9" s="9" t="inlineStr">
        <is>
          <t>In-house trust + separate investments program</t>
        </is>
      </c>
      <c r="D9" s="9" t="inlineStr">
        <is>
          <t>(225) 265-2265</t>
        </is>
      </c>
      <c r="E9" s="9" t="inlineStr">
        <is>
          <t>Wealth management, tax minimization, probate avoidance. South Vacherie branch 225-265-3484. No officer names found.</t>
        </is>
      </c>
      <c r="F9" s="9" t="inlineStr">
        <is>
          <t>High</t>
        </is>
      </c>
    </row>
    <row r="10">
      <c r="A10" s="9" t="inlineStr">
        <is>
          <t>Renasant Bank</t>
        </is>
      </c>
      <c r="B10" s="9" t="inlineStr">
        <is>
          <t>New Orleans, Baton Rouge, Northshore</t>
        </is>
      </c>
      <c r="C10" s="9" t="inlineStr">
        <is>
          <t>Trust Services since 1904; Renasant Financial Services; Private Client</t>
        </is>
      </c>
      <c r="D10" s="9" t="inlineStr">
        <is>
          <t>Branch level</t>
        </is>
      </c>
      <c r="E10" s="9" t="inlineStr">
        <is>
          <t>Entered Louisiana in early 2025 by buying The First Bancshares. Louisiana staffing unconfirmed.</t>
        </is>
      </c>
      <c r="F10" s="9" t="inlineStr">
        <is>
          <t>Moderate</t>
        </is>
      </c>
    </row>
    <row r="11">
      <c r="A11" s="9" t="inlineStr">
        <is>
          <t>Huntington (legacy Cadence)</t>
        </is>
      </c>
      <c r="B11" s="9" t="inlineStr">
        <is>
          <t>Baton Rouge, Prairieville, Shreveport</t>
        </is>
      </c>
      <c r="C11" s="9" t="inlineStr">
        <is>
          <t>Huntington Private Bank; legacy Cadence Trust and Cadence Investment Services</t>
        </is>
      </c>
      <c r="D11" s="9" t="inlineStr">
        <is>
          <t>Branch level</t>
        </is>
      </c>
      <c r="E11" s="9" t="inlineStr">
        <is>
          <t>Huntington closed the $7.4B Cadence acquisition 2026-02-01 and is rebranding. Post-merger Louisiana staffing unverified.</t>
        </is>
      </c>
      <c r="F11" s="9" t="inlineStr">
        <is>
          <t>Moderate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34" customWidth="1" min="3" max="3"/>
    <col width="30" customWidth="1" min="4" max="4"/>
    <col width="34" customWidth="1" min="5" max="5"/>
    <col width="26" customWidth="1" min="6" max="6"/>
    <col width="64" customWidth="1" min="7" max="7"/>
  </cols>
  <sheetData>
    <row r="1">
      <c r="A1" s="12" t="inlineStr">
        <is>
          <t>Confirmed programs where NO advisor name surfaced</t>
        </is>
      </c>
    </row>
    <row r="2">
      <c r="A2" s="2" t="inlineStr">
        <is>
          <t>Call the main line and ask for the program manager or the investment representative.</t>
        </is>
      </c>
    </row>
    <row r="4">
      <c r="A4" s="7" t="inlineStr">
        <is>
          <t>Bank</t>
        </is>
      </c>
      <c r="B4" s="7" t="inlineStr">
        <is>
          <t>City</t>
        </is>
      </c>
      <c r="C4" s="7" t="inlineStr">
        <is>
          <t>Program</t>
        </is>
      </c>
      <c r="D4" s="7" t="inlineStr">
        <is>
          <t>Broker-Dealer</t>
        </is>
      </c>
      <c r="E4" s="7" t="inlineStr">
        <is>
          <t>Clearing &amp; Custody</t>
        </is>
      </c>
      <c r="F4" s="7" t="inlineStr">
        <is>
          <t>Main Contact</t>
        </is>
      </c>
      <c r="G4" s="7" t="inlineStr">
        <is>
          <t>Notes</t>
        </is>
      </c>
    </row>
    <row r="5">
      <c r="A5" s="9" t="inlineStr">
        <is>
          <t>Woodforest National Bank</t>
        </is>
      </c>
      <c r="B5" s="9" t="inlineStr">
        <is>
          <t>Statewide (18-19 LA branches)</t>
        </is>
      </c>
      <c r="C5" s="9" t="inlineStr">
        <is>
          <t>Woodforest Wealth</t>
        </is>
      </c>
      <c r="D5" s="9" t="inlineStr">
        <is>
          <t>Raymond James Financial Services (CRD 6694)</t>
        </is>
      </c>
      <c r="E5" s="9" t="inlineStr">
        <is>
          <t>Self-clearing (Raymond James &amp; Associates). Confirmed.</t>
        </is>
      </c>
      <c r="F5" s="9" t="inlineStr">
        <is>
          <t>Branch level</t>
        </is>
      </c>
      <c r="G5" s="9" t="inlineStr">
        <is>
          <t>Mostly in-store Walmart branches: New Orleans, Monroe, Slidell, Lake Charles, Shreveport, Houma.</t>
        </is>
      </c>
    </row>
    <row r="6">
      <c r="A6" s="9" t="inlineStr">
        <is>
          <t>Home Federal Bank</t>
        </is>
      </c>
      <c r="B6" s="9" t="inlineStr">
        <is>
          <t>Shreveport</t>
        </is>
      </c>
      <c r="C6" s="9" t="inlineStr">
        <is>
          <t>Wealth management, unnamed</t>
        </is>
      </c>
      <c r="D6" s="9" t="inlineStr">
        <is>
          <t>Not found</t>
        </is>
      </c>
      <c r="E6" s="9" t="inlineStr">
        <is>
          <t>Not found</t>
        </is>
      </c>
      <c r="F6" s="9" t="inlineStr">
        <is>
          <t>318-629-BANK</t>
        </is>
      </c>
      <c r="G6" s="9" t="inlineStr">
        <is>
          <t>Company descriptions list wealth management. No program name or BD surfaced. Nasdaq: HFBL.</t>
        </is>
      </c>
    </row>
    <row r="7">
      <c r="A7" s="9" t="inlineStr">
        <is>
          <t>BOM Bank (Bank of Montgomery)</t>
        </is>
      </c>
      <c r="B7" s="9" t="inlineStr">
        <is>
          <t>Natchitoches</t>
        </is>
      </c>
      <c r="C7" s="9" t="inlineStr">
        <is>
          <t>Insurance and investments, unnamed</t>
        </is>
      </c>
      <c r="D7" s="9" t="inlineStr">
        <is>
          <t>Not found</t>
        </is>
      </c>
      <c r="E7" s="9" t="inlineStr">
        <is>
          <t>Not found</t>
        </is>
      </c>
      <c r="F7" s="9" t="inlineStr">
        <is>
          <t>Branch level</t>
        </is>
      </c>
      <c r="G7" s="9" t="inlineStr">
        <is>
          <t>Certified CDFI. Describes insurance and investments alongside traditional banking.</t>
        </is>
      </c>
    </row>
    <row r="8">
      <c r="A8" s="9" t="inlineStr">
        <is>
          <t>M C Bank &amp; Trust</t>
        </is>
      </c>
      <c r="B8" s="9" t="inlineStr">
        <is>
          <t>Morgan City</t>
        </is>
      </c>
      <c r="C8" s="9" t="inlineStr">
        <is>
          <t>Investments page only</t>
        </is>
      </c>
      <c r="D8" s="9" t="inlineStr">
        <is>
          <t>Not found</t>
        </is>
      </c>
      <c r="E8" s="9" t="inlineStr">
        <is>
          <t>Not found</t>
        </is>
      </c>
      <c r="F8" s="9" t="inlineStr">
        <is>
          <t>Branch level</t>
        </is>
      </c>
      <c r="G8" s="9" t="inlineStr">
        <is>
          <t>Publishes an investments page; no wealth or trust page surfaced.</t>
        </is>
      </c>
    </row>
    <row r="9">
      <c r="A9" s="9" t="inlineStr">
        <is>
          <t>Patterson State Bank</t>
        </is>
      </c>
      <c r="B9" s="9" t="inlineStr">
        <is>
          <t>Patterson</t>
        </is>
      </c>
      <c r="C9" s="9" t="inlineStr">
        <is>
          <t>PSBank Financial Services</t>
        </is>
      </c>
      <c r="D9" s="9" t="inlineStr">
        <is>
          <t>INVEST Financial per bank copy; likely LPL now</t>
        </is>
      </c>
      <c r="E9" s="9" t="inlineStr">
        <is>
          <t>Self-clearing (LPL) if the LPL read is right</t>
        </is>
      </c>
      <c r="F9" s="9" t="inlineStr">
        <is>
          <t>Branch level</t>
        </is>
      </c>
      <c r="G9" s="9" t="inlineStr">
        <is>
          <t>Bank copy still names INVEST Financial, which LPL absorbed in 2017-18. Search is swamped by an unrelated PA bank called PS Bank.</t>
        </is>
      </c>
    </row>
    <row r="10">
      <c r="A10" s="9" t="inlineStr">
        <is>
          <t>South Louisiana Bank</t>
        </is>
      </c>
      <c r="B10" s="9" t="inlineStr">
        <is>
          <t>Houma</t>
        </is>
      </c>
      <c r="C10" s="9" t="inlineStr">
        <is>
          <t>South Louisiana Financial Services</t>
        </is>
      </c>
      <c r="D10" s="9" t="inlineStr">
        <is>
          <t>Not found</t>
        </is>
      </c>
      <c r="E10" s="9" t="inlineStr">
        <is>
          <t>Not found</t>
        </is>
      </c>
      <c r="F10" s="9" t="inlineStr">
        <is>
          <t>(985) 223-6791</t>
        </is>
      </c>
      <c r="G10" s="9" t="inlineStr">
        <is>
          <t>RE-CHECK BEFORE CALLING. A name surfaced (James Sublett, SVP) but the BBB categorizes South Louisiana Financial Services LLC as an INSURANCE services office, and two domains exist (myslfs.com, slfsllc.com). The link to the bank's investment program is doubtful.</t>
        </is>
      </c>
    </row>
    <row r="11">
      <c r="A11" s="9" t="inlineStr">
        <is>
          <t>Trustmark National Bank</t>
        </is>
      </c>
      <c r="B11" s="9" t="inlineStr">
        <is>
          <t>Baton Rouge / Mandeville listings</t>
        </is>
      </c>
      <c r="C11" s="9" t="inlineStr">
        <is>
          <t>Trustmark Financial Services; Tailored Wealth</t>
        </is>
      </c>
      <c r="D11" s="9" t="inlineStr">
        <is>
          <t>Raymond James</t>
        </is>
      </c>
      <c r="E11" s="9" t="inlineStr">
        <is>
          <t>Self-clearing (Raymond James &amp; Associates). Confirmed.</t>
        </is>
      </c>
      <c r="F11" s="9" t="inlineStr">
        <is>
          <t>Branch level</t>
        </is>
      </c>
      <c r="G11" s="9" t="inlineStr">
        <is>
          <t>Louisiana presence itself is doubtful. One directory marks the Baton Rouge office closed. No LA advisors surfaced.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2026-09-06T04:44:30Z</dcterms:created>
  <dcterms:modified xsi:type="dcterms:W3CDTF">2026-09-06T04:45:12Z</dcterms:modified>
</cp:coreProperties>
</file>